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d:\Users\97252\Desktop\Benny\WORK\מרכז ידע\02-מסדי נתונים\05-שכר ותעסוקה\משרות שכיר ומעסיקים\"/>
    </mc:Choice>
  </mc:AlternateContent>
  <xr:revisionPtr revIDLastSave="0" documentId="13_ncr:1_{56DC5795-C639-4CB8-BA62-26E73745B996}" xr6:coauthVersionLast="47" xr6:coauthVersionMax="47" xr10:uidLastSave="{00000000-0000-0000-0000-000000000000}"/>
  <bookViews>
    <workbookView xWindow="-120" yWindow="-120" windowWidth="20730" windowHeight="11160" tabRatio="956" activeTab="4" xr2:uid="{00000000-000D-0000-FFFF-FFFF00000000}"/>
  </bookViews>
  <sheets>
    <sheet name="מידע נילווה" sheetId="7" r:id="rId1"/>
    <sheet name="רשויות_ענף_כלכלי__3ספרות_" sheetId="3" r:id="rId2"/>
    <sheet name="רשויות_ענף_כלכלי__2ספרות_" sheetId="2" r:id="rId3"/>
    <sheet name="פיבוט" sheetId="8" r:id="rId4"/>
    <sheet name="רשויות_ענף_כלכלי__סדר_" sheetId="1" r:id="rId5"/>
    <sheet name="מחוז_ענף_כלכלי_3_ספרות" sheetId="6" r:id="rId6"/>
    <sheet name="מחוז_ענף_כלכלי_2_ספרות" sheetId="5" r:id="rId7"/>
    <sheet name="מחוז_ענף_כלכלי__סדר" sheetId="4" r:id="rId8"/>
  </sheets>
  <definedNames>
    <definedName name="_xlnm._FilterDatabase" localSheetId="7" hidden="1">מחוז_ענף_כלכלי__סדר!$A$1:$E$169</definedName>
    <definedName name="_xlnm._FilterDatabase" localSheetId="5" hidden="1">מחוז_ענף_כלכלי_3_ספרות!$A$1:$E$73</definedName>
    <definedName name="מחוז_ענף_כלכלי__סדר">מחוז_ענף_כלכלי__סדר!$A$1:$E$169</definedName>
    <definedName name="מחוז_ענף_כלכלי_2_ספרות">מחוז_ענף_כלכלי_2_ספרות!$A$1:$D$594</definedName>
    <definedName name="מחוז_ענף_כלכלי_3_ספרות">מחוז_ענף_כלכלי_3_ספרות!$A$1:$E$73</definedName>
    <definedName name="רשויות_ענף_כלכלי__2ספרות_">רשויות_ענף_כלכלי__2ספרות_!$A$1:$E$746</definedName>
    <definedName name="רשויות_ענף_כלכלי__3ספרות_">רשויות_ענף_כלכלי__3ספרות_!$A$1:$D$86</definedName>
    <definedName name="רשויות_ענף_כלכלי__סדר_">רשויות_ענף_כלכלי__סדר_!$A$1:$D$316</definedName>
  </definedNames>
  <calcPr calcId="191029"/>
  <pivotCaches>
    <pivotCache cacheId="0" r:id="rId9"/>
    <pivotCache cacheId="3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" i="4" l="1"/>
  <c r="R39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3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2" i="2"/>
</calcChain>
</file>

<file path=xl/sharedStrings.xml><?xml version="1.0" encoding="utf-8"?>
<sst xmlns="http://schemas.openxmlformats.org/spreadsheetml/2006/main" count="2766" uniqueCount="202">
  <si>
    <t>ShemMaamadMuniOMoeza</t>
  </si>
  <si>
    <t>בוקעאתא</t>
  </si>
  <si>
    <t>*</t>
  </si>
  <si>
    <t>A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</si>
  <si>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</si>
  <si>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</si>
  <si>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</si>
  <si>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</si>
  <si>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</si>
  <si>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</si>
  <si>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</si>
  <si>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</si>
  <si>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</si>
  <si>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</si>
  <si>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</si>
  <si>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</si>
  <si>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</si>
  <si>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</si>
  <si>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</si>
  <si>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</si>
  <si>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ג'ש (גוש חלב)</t>
  </si>
  <si>
    <t>גולן</t>
  </si>
  <si>
    <t>D</t>
  </si>
  <si>
    <t>הגליל העליון</t>
  </si>
  <si>
    <t>B</t>
  </si>
  <si>
    <t>חצור הגלילית</t>
  </si>
  <si>
    <t>טובא-זנגרייה</t>
  </si>
  <si>
    <t>יסוד המעלה</t>
  </si>
  <si>
    <t>מבואות החרמון</t>
  </si>
  <si>
    <t>מג'דל שמס</t>
  </si>
  <si>
    <t>מטולה</t>
  </si>
  <si>
    <t>מסעדה</t>
  </si>
  <si>
    <t>מרום הגליל</t>
  </si>
  <si>
    <t>ע'ג'ר</t>
  </si>
  <si>
    <t>עין קנייא</t>
  </si>
  <si>
    <t>צפת</t>
  </si>
  <si>
    <t>קצרין</t>
  </si>
  <si>
    <t>קריית שמונה</t>
  </si>
  <si>
    <t>ראש פינה</t>
  </si>
  <si>
    <t>CodMahozs</t>
  </si>
  <si>
    <t>איוש</t>
  </si>
  <si>
    <t>U</t>
  </si>
  <si>
    <t>דרום</t>
  </si>
  <si>
    <t>חיפה</t>
  </si>
  <si>
    <t>ירושלים</t>
  </si>
  <si>
    <t>מחוז צפון ללא</t>
  </si>
  <si>
    <t>מרכז</t>
  </si>
  <si>
    <t>נפות צפת וגולן</t>
  </si>
  <si>
    <t>תל אביב</t>
  </si>
  <si>
    <t>ענף כלכלי</t>
  </si>
  <si>
    <t>מספר שכירים</t>
  </si>
  <si>
    <t>שכר חודשי ממוצי</t>
  </si>
  <si>
    <t xml:space="preserve">תאריך הפקה: </t>
  </si>
  <si>
    <t xml:space="preserve">יחידה בלמ"ס שהפיקה את הנתונים: </t>
  </si>
  <si>
    <t>אגף מיקרו כלכלה</t>
  </si>
  <si>
    <t xml:space="preserve">שם המפיק: </t>
  </si>
  <si>
    <t>אורלי פורמן</t>
  </si>
  <si>
    <t xml:space="preserve">לשאלות ובירורים נא לפנות ליחידת המידע: </t>
  </si>
  <si>
    <t>02-6592666 או</t>
  </si>
  <si>
    <t>info@cbs.gov.il</t>
  </si>
  <si>
    <t>סוג ההפקה:</t>
  </si>
  <si>
    <t>עיבוד מיוחד מורכב</t>
  </si>
  <si>
    <t xml:space="preserve">מקורות הנתונים: </t>
  </si>
  <si>
    <t xml:space="preserve">    -  </t>
  </si>
  <si>
    <t>קובצי הכנסה מנהליים</t>
  </si>
  <si>
    <t>עבור השנים 2018-2022</t>
  </si>
  <si>
    <t xml:space="preserve">סימנים מיוחדים: </t>
  </si>
  <si>
    <t xml:space="preserve">  ריק</t>
  </si>
  <si>
    <t>חוסר מקרים</t>
  </si>
  <si>
    <t xml:space="preserve">  *</t>
  </si>
  <si>
    <t>ללא ענף כלכלי</t>
  </si>
  <si>
    <t xml:space="preserve">הסבר נוסף: </t>
  </si>
  <si>
    <t xml:space="preserve">שכר חודשי ממוצע </t>
  </si>
  <si>
    <t xml:space="preserve"> חושב ע"י חלוקת השכר השנתי במספר חודשי העבודה, רק הכנסה משכר</t>
  </si>
  <si>
    <t>שכיר</t>
  </si>
  <si>
    <t>כל בעלי ההכנסה משכר במהלך השנה, גם אם היתה לו הכנסה עסקית</t>
  </si>
  <si>
    <t>ענף כלכלי של המשרה המניבה יותר במהלך השנה</t>
  </si>
  <si>
    <t>לעניין קיבוץ ענפי הכלכלה בשתי ספרות בהתאם לבקשה- הוצג הענף באופנות הראשונה על פיה אוחדו</t>
  </si>
  <si>
    <t>שם ענף</t>
  </si>
  <si>
    <t>סדר</t>
  </si>
  <si>
    <t>ענף ראשי</t>
  </si>
  <si>
    <t>תיאור</t>
  </si>
  <si>
    <t>חקלאות, ייעור ודיג</t>
  </si>
  <si>
    <t>גידולים צמחיים</t>
  </si>
  <si>
    <t>ייעור וכריתת עצים</t>
  </si>
  <si>
    <t>דיג וחקלאות מים</t>
  </si>
  <si>
    <t>גידול בעלי חיים, ציד ופעילויות נלוות</t>
  </si>
  <si>
    <t>כרייה וחציבה</t>
  </si>
  <si>
    <t>כריית פחם ופחם חום</t>
  </si>
  <si>
    <t>הפקת נפט גולמי וגז טבעי</t>
  </si>
  <si>
    <t>כריית עפרות מתכת</t>
  </si>
  <si>
    <t>סוגים אחרים של כרייה וחציבה</t>
  </si>
  <si>
    <t>פעילויות עזר לכרייה</t>
  </si>
  <si>
    <t>תעשייה</t>
  </si>
  <si>
    <t>ייצור מוצרי מזון</t>
  </si>
  <si>
    <t>ייצור משקאות</t>
  </si>
  <si>
    <t>ייצור מוצרי טבק</t>
  </si>
  <si>
    <t>ייצור טקסטיל</t>
  </si>
  <si>
    <t>ייצור מוצרי הלבשה</t>
  </si>
  <si>
    <t>ייצור ועיבוד של מוצרי עור ושל אביזרים נלווים</t>
  </si>
  <si>
    <t>ייצור מוצרי עץ ומוצרי עץ ושעם, פרט לרהיטים; ייצור מוצרי קש ומוצרים מחומרי קליעה</t>
  </si>
  <si>
    <t xml:space="preserve">ייצור נייר ומוצריו </t>
  </si>
  <si>
    <t>הדפסה ושכפול של חומר תקשורתי מוקלט</t>
  </si>
  <si>
    <t>ייצור מוצרי נפט מזוקק</t>
  </si>
  <si>
    <t>ייצור כימיקלים ומוצריהם</t>
  </si>
  <si>
    <t>ייצור תרופות, כולל תרופות הומאופתיות</t>
  </si>
  <si>
    <t xml:space="preserve">ייצור מוצרי גומי ופלסטיק </t>
  </si>
  <si>
    <t>ייצור מוצרים אחרים על בסיס מינרלים אל-מתכתיים</t>
  </si>
  <si>
    <t>תעשיית מתכות בסיסיות</t>
  </si>
  <si>
    <t>ייצור מוצרי מתכת בהרכבה, פרט למכונות ולציוד</t>
  </si>
  <si>
    <t>ייצור מחשבים, מכשור אלקטרוני ואופטי</t>
  </si>
  <si>
    <t>ייצור ציוד חשמלי</t>
  </si>
  <si>
    <t>ייצור מכונות וציוד לנמ"א</t>
  </si>
  <si>
    <t xml:space="preserve">ייצור כלי רכב מנועיים ונגררים </t>
  </si>
  <si>
    <t>ייצור כלי תחבורה והובלה אחרים</t>
  </si>
  <si>
    <t>ייצור רהיטים</t>
  </si>
  <si>
    <t>ענפי ייצור אחרים</t>
  </si>
  <si>
    <t>תיקון, תחזוקה והתקנה של מכונות וציוד</t>
  </si>
  <si>
    <t>עיבוד יהלומים</t>
  </si>
  <si>
    <t>אספקת חשמל, גז, קיטור ומיזוג אוויר</t>
  </si>
  <si>
    <t>אספקת חשמל, גז, קיטור ומיזוג אוויר (קירור)</t>
  </si>
  <si>
    <t>אספקת מים; שירותי ביוב, טיפול באשפה ובפסולת ושירותי טיהור</t>
  </si>
  <si>
    <t>אגירת מים, טיפול ואספקה</t>
  </si>
  <si>
    <t>שירותי ביוב</t>
  </si>
  <si>
    <t>איסוף, טיפול וסילוק של אשפה ופסולת; מחזור (והשבה) של חומרים</t>
  </si>
  <si>
    <t>שירותי טיהור ושירותים אחרים לטיפול בפסולת</t>
  </si>
  <si>
    <t>בינוי</t>
  </si>
  <si>
    <t>בניית מבנים ובניינים</t>
  </si>
  <si>
    <t xml:space="preserve">עבודות הנדסה אזרחית </t>
  </si>
  <si>
    <t xml:space="preserve">עבודות בנייה מיוחדות </t>
  </si>
  <si>
    <t>מסחר סיטוני וקמעוני; תיקון כלי רכב מנועיים ואופנועים</t>
  </si>
  <si>
    <t>מסחר סיטוני וקמעוני בכלי רכב מנועיים ובאופנועים ותיקונם</t>
  </si>
  <si>
    <t>מסחר סיטוני, פרט לכלי רכב מנועיים ולאופנועים</t>
  </si>
  <si>
    <t>מכירה קמעונית, פרט לכלי רכב מנועיים ולאופנועים</t>
  </si>
  <si>
    <t>שירותי תחבורה, אחסנה, דואר ובלדרות</t>
  </si>
  <si>
    <t>הובלה יבשתית והובלה באמצעות קווי צינורות</t>
  </si>
  <si>
    <t>הובלה ימית</t>
  </si>
  <si>
    <t>הובלה אווירית</t>
  </si>
  <si>
    <t>אחסנה ושירותי עזר לתחבורה</t>
  </si>
  <si>
    <t>שירותי דואר ובלדרות</t>
  </si>
  <si>
    <t>שירותי אירוח ואוכל</t>
  </si>
  <si>
    <t>שירותי אירוח</t>
  </si>
  <si>
    <t xml:space="preserve">שירותי מזון ומשקאות </t>
  </si>
  <si>
    <t>מידע ותקשורת</t>
  </si>
  <si>
    <t>הוצאה לאור</t>
  </si>
  <si>
    <t xml:space="preserve">הפקה, פוסט-פרודקשן והפצה של סרטי קולנוע, סרטי וידאו, תכניות טלוויזיה, הקלטה
 והוצאה לאור של קול ומוזיקה </t>
  </si>
  <si>
    <t>שידור תכניות רדיו וטלוויזיה</t>
  </si>
  <si>
    <t>שירותי תקשורת</t>
  </si>
  <si>
    <t>תכנות מחשבים, ייעוץ בתחום המחשבים ושירותים נלווים אחרים</t>
  </si>
  <si>
    <t>שירותי מידע</t>
  </si>
  <si>
    <t>שירותים פיננסיים ושירותי ביטוח</t>
  </si>
  <si>
    <t>שירותים פיננסיים, פרט לביטוח ולקרנות פנסיה</t>
  </si>
  <si>
    <t>ביטוח, ביטוח משנה וקרנות פנסיה, פרט לביטוח לאומי חובה</t>
  </si>
  <si>
    <t>פעילויות עזר הנלוות לשירותים פיננסיים ולשירותי ביטוח</t>
  </si>
  <si>
    <t>פעילויות בנדל"ן</t>
  </si>
  <si>
    <t>שירותים מקצועיים, מדעיים וטכניים</t>
  </si>
  <si>
    <t>שירותים משפטיים ושירותי חשבונאות</t>
  </si>
  <si>
    <t>שירותי משרדים ראשיים; שירותי ייעוץ ניהולי</t>
  </si>
  <si>
    <t>שירותי אדריכלות והנדסה; בדיקות טכניות וניתוח נתונים טכניים</t>
  </si>
  <si>
    <t>מחקר מדעי ופיתוח</t>
  </si>
  <si>
    <t>פרסום וחקר שווקים</t>
  </si>
  <si>
    <t>סוגים אחרים של שירותים מקצועיים, מדעיים וטכניים</t>
  </si>
  <si>
    <t>שירותים וטרינריים</t>
  </si>
  <si>
    <t>שירותי ניהול ותמיכה</t>
  </si>
  <si>
    <t>שירותי השכרה והחכרה</t>
  </si>
  <si>
    <t>שירותי תעסוקה</t>
  </si>
  <si>
    <t>פעילויות של סוכנויות נסיעות, מארגני טיולים, הזמנות ושירותים נלווים</t>
  </si>
  <si>
    <t>שירותי שמירה, אבטחה וחקירה</t>
  </si>
  <si>
    <t>שירותי תחזוקה לבניינים ועבודות גינון</t>
  </si>
  <si>
    <t>שירותי ניהול ותמיכה למשרדים ולעסקים</t>
  </si>
  <si>
    <t>מינהל מקומי, מינהל ציבורי וביטחון; ביטוח לאומי חובה</t>
  </si>
  <si>
    <t>מינהל מקומי</t>
  </si>
  <si>
    <t>מינהל ציבורי וביטחון; ביטוח לאומי חובה</t>
  </si>
  <si>
    <t>חינוך</t>
  </si>
  <si>
    <t>שירותי בריאות, רווחה וסעד</t>
  </si>
  <si>
    <t>שירותי בריאות</t>
  </si>
  <si>
    <t>מגורים טיפוליים</t>
  </si>
  <si>
    <t>שירותי רווחה וסעד ללא מגורים</t>
  </si>
  <si>
    <t>אמנות, בידור ופנאי</t>
  </si>
  <si>
    <t>יצירה, אמנות ובידור</t>
  </si>
  <si>
    <t>הפעלת ספריות, ארכיונים, מוזאונים ופעילויות תרבות אחרות</t>
  </si>
  <si>
    <t>פעילויות הימורים והתערבויות</t>
  </si>
  <si>
    <t>פעילויות ספורט, בילוי ופנאי</t>
  </si>
  <si>
    <t>שירותים אחרים</t>
  </si>
  <si>
    <t>פעילויות של ארגוני חברים</t>
  </si>
  <si>
    <t>תיקון של מחשבים, ציוד אישי וציוד לבית</t>
  </si>
  <si>
    <t>שירותים אישיים אחרים</t>
  </si>
  <si>
    <t>T</t>
  </si>
  <si>
    <t>משקי בית כמעסיקים; משקי בית המייצרים מגוון טובין ושירותים לשימוש עצמי</t>
  </si>
  <si>
    <t>משקי בית כמעסיקים (של עובדי משק בית)</t>
  </si>
  <si>
    <t>משקי בית המייצרים מגוון טובין ושירותים לשימוש עצמי</t>
  </si>
  <si>
    <t>ארגונים וגופים חוץ-מדינתיים</t>
  </si>
  <si>
    <t>Row Labels</t>
  </si>
  <si>
    <t>(blank)</t>
  </si>
  <si>
    <t>Grand Total</t>
  </si>
  <si>
    <t>Sum of מספר שכירים</t>
  </si>
  <si>
    <t>Average of שכר חודשי ממוצי</t>
  </si>
  <si>
    <t>ענף</t>
  </si>
  <si>
    <t>Column Labels</t>
  </si>
  <si>
    <t>ממוצע ארצי</t>
  </si>
  <si>
    <t>ממוצע שכר באשכול</t>
  </si>
  <si>
    <t>ממוצע שכר ארצי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</si>
</sst>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mm/dd/yyyy"/>
    <numFmt numFmtId="167" formatCode="0#"/>
  </numFmts>
  <fonts count="10" x14ac:knownFonts="1">
    <font>
      <sz val="10"/>
      <name val="MS Sans Serif"/>
      <family val="2"/>
    </font>
    <font>
      <sz val="10"/>
      <name val="MS Sans Serif"/>
      <family val="2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/>
  </cellStyleXfs>
  <cellXfs count="30">
    <xf numFmtId="0" fontId="0" fillId="0" borderId="0" xfId="0"/>
    <xf numFmtId="0" fontId="2" fillId="0" borderId="0" xfId="0" applyFont="1"/>
    <xf numFmtId="165" fontId="2" fillId="0" borderId="0" xfId="1" applyNumberFormat="1" applyFont="1" applyAlignment="1"/>
    <xf numFmtId="0" fontId="3" fillId="0" borderId="0" xfId="0" applyFont="1"/>
    <xf numFmtId="165" fontId="3" fillId="0" borderId="0" xfId="1" applyNumberFormat="1" applyFont="1" applyAlignment="1"/>
    <xf numFmtId="0" fontId="5" fillId="0" borderId="0" xfId="2" applyFont="1" applyAlignment="1">
      <alignment horizontal="right" vertical="center" wrapText="1" readingOrder="2"/>
    </xf>
    <xf numFmtId="166" fontId="4" fillId="0" borderId="0" xfId="2" applyNumberFormat="1" applyAlignment="1">
      <alignment horizontal="right" vertical="center" wrapText="1" readingOrder="2"/>
    </xf>
    <xf numFmtId="0" fontId="4" fillId="0" borderId="0" xfId="2"/>
    <xf numFmtId="0" fontId="4" fillId="0" borderId="0" xfId="2" applyAlignment="1">
      <alignment horizontal="right" vertical="center" wrapText="1" readingOrder="2"/>
    </xf>
    <xf numFmtId="0" fontId="6" fillId="0" borderId="0" xfId="3" applyAlignment="1">
      <alignment horizontal="right" vertical="center" wrapText="1" readingOrder="2"/>
    </xf>
    <xf numFmtId="0" fontId="5" fillId="2" borderId="1" xfId="2" applyFont="1" applyFill="1" applyBorder="1" applyAlignment="1">
      <alignment horizontal="right" vertical="center" wrapText="1" readingOrder="2"/>
    </xf>
    <xf numFmtId="0" fontId="4" fillId="2" borderId="1" xfId="2" applyFill="1" applyBorder="1" applyAlignment="1">
      <alignment horizontal="right" vertical="center" wrapText="1" readingOrder="2"/>
    </xf>
    <xf numFmtId="0" fontId="4" fillId="0" borderId="1" xfId="2" applyBorder="1" applyAlignment="1">
      <alignment horizontal="right" vertical="center" wrapText="1" readingOrder="2"/>
    </xf>
    <xf numFmtId="0" fontId="4" fillId="0" borderId="0" xfId="2" applyAlignment="1">
      <alignment horizontal="right" vertical="center" wrapText="1"/>
    </xf>
    <xf numFmtId="0" fontId="0" fillId="0" borderId="0" xfId="0" pivotButton="1"/>
    <xf numFmtId="0" fontId="8" fillId="3" borderId="2" xfId="4" applyFont="1" applyFill="1" applyBorder="1" applyAlignment="1">
      <alignment vertical="center" wrapText="1"/>
    </xf>
    <xf numFmtId="167" fontId="9" fillId="4" borderId="3" xfId="4" applyNumberFormat="1" applyFont="1" applyFill="1" applyBorder="1" applyAlignment="1">
      <alignment wrapText="1" readingOrder="2"/>
    </xf>
    <xf numFmtId="0" fontId="9" fillId="4" borderId="3" xfId="4" applyFont="1" applyFill="1" applyBorder="1" applyAlignment="1">
      <alignment wrapText="1" readingOrder="2"/>
    </xf>
    <xf numFmtId="167" fontId="7" fillId="0" borderId="3" xfId="4" applyNumberFormat="1" applyBorder="1" applyAlignment="1">
      <alignment wrapText="1" readingOrder="2"/>
    </xf>
    <xf numFmtId="0" fontId="7" fillId="0" borderId="3" xfId="4" applyBorder="1" applyAlignment="1">
      <alignment wrapText="1" readingOrder="2"/>
    </xf>
    <xf numFmtId="167" fontId="7" fillId="0" borderId="3" xfId="4" applyNumberFormat="1" applyBorder="1" applyAlignment="1">
      <alignment vertical="top" wrapText="1" readingOrder="2"/>
    </xf>
    <xf numFmtId="167" fontId="7" fillId="0" borderId="0" xfId="4" applyNumberFormat="1" applyAlignment="1">
      <alignment wrapText="1"/>
    </xf>
    <xf numFmtId="0" fontId="7" fillId="0" borderId="0" xfId="4" applyAlignment="1">
      <alignment wrapText="1"/>
    </xf>
    <xf numFmtId="167" fontId="9" fillId="0" borderId="3" xfId="4" applyNumberFormat="1" applyFont="1" applyBorder="1" applyAlignment="1">
      <alignment wrapText="1" readingOrder="2"/>
    </xf>
    <xf numFmtId="0" fontId="9" fillId="0" borderId="3" xfId="4" applyFont="1" applyBorder="1" applyAlignment="1">
      <alignment wrapText="1" readingOrder="2"/>
    </xf>
    <xf numFmtId="0" fontId="0" fillId="0" borderId="0" xfId="0" applyAlignment="1">
      <alignment horizontal="left"/>
    </xf>
    <xf numFmtId="165" fontId="0" fillId="0" borderId="0" xfId="0" applyNumberFormat="1"/>
    <xf numFmtId="0" fontId="5" fillId="0" borderId="0" xfId="2" applyFont="1" applyAlignment="1">
      <alignment horizontal="right" vertical="center" wrapText="1" readingOrder="2"/>
    </xf>
    <xf numFmtId="0" fontId="4" fillId="0" borderId="0" xfId="2" applyAlignment="1">
      <alignment horizontal="right" vertical="center" wrapText="1" readingOrder="2"/>
    </xf>
    <xf numFmtId="0" fontId="0" fillId="0" borderId="0" xfId="0" applyNumberFormat="1"/>
  </cellXfs>
  <cellStyles count="5">
    <cellStyle name="Comma" xfId="1" builtinId="3"/>
    <cellStyle name="Hyperlink 2" xfId="3" xr:uid="{26CE73B3-9C22-4DC5-9DDD-0C0F03EF59FC}"/>
    <cellStyle name="Normal" xfId="0" builtinId="0"/>
    <cellStyle name="Normal 2" xfId="2" xr:uid="{BCA45BF8-8F97-4C58-87A1-139465F0E66C}"/>
    <cellStyle name="Normal 3" xfId="4" xr:uid="{7E35D8A6-5677-4BFF-B4D0-2A4E62CBE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[שכירים ושכר ממוצע לפי מחוזות ורשויות בצפון 2022_10.7.24.xlsx]מחוז_ענף_כלכלי__סדר!PivotTable1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מחוז_ענף_כלכלי__סדר!$P$2:$P$3</c:f>
              <c:strCache>
                <c:ptCount val="1"/>
                <c:pt idx="0">
                  <c:v>איוש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מחוז_ענף_כלכלי__סדר!$O$4:$O$25</c:f>
              <c:strCache>
                <c:ptCount val="21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  <c:pt idx="20">
                  <c:v>(blank)</c:v>
                </c:pt>
              </c:strCache>
            </c:strRef>
          </c:cat>
          <c:val>
            <c:numRef>
              <c:f>מחוז_ענף_כלכלי__סדר!$P$4:$P$25</c:f>
              <c:numCache>
                <c:formatCode>_ * #,##0_ ;_ * \-#,##0_ ;_ * "-"??_ ;_ @_ </c:formatCode>
                <c:ptCount val="21"/>
                <c:pt idx="0">
                  <c:v>5975.5194321184999</c:v>
                </c:pt>
                <c:pt idx="1">
                  <c:v>27878.830897183037</c:v>
                </c:pt>
                <c:pt idx="2">
                  <c:v>16191.560406330897</c:v>
                </c:pt>
                <c:pt idx="3">
                  <c:v>22218.943641331349</c:v>
                </c:pt>
                <c:pt idx="4">
                  <c:v>13093.008108658394</c:v>
                </c:pt>
                <c:pt idx="5">
                  <c:v>9107.6989571053109</c:v>
                </c:pt>
                <c:pt idx="6">
                  <c:v>7082.5327962855899</c:v>
                </c:pt>
                <c:pt idx="7">
                  <c:v>22314.780578512396</c:v>
                </c:pt>
                <c:pt idx="8">
                  <c:v>21745.863821644671</c:v>
                </c:pt>
                <c:pt idx="9">
                  <c:v>10630.491611286703</c:v>
                </c:pt>
                <c:pt idx="10">
                  <c:v>8465.3973703003485</c:v>
                </c:pt>
                <c:pt idx="11">
                  <c:v>11552.951729974264</c:v>
                </c:pt>
                <c:pt idx="12">
                  <c:v>4588.2312120229863</c:v>
                </c:pt>
                <c:pt idx="13">
                  <c:v>8961.8851046377531</c:v>
                </c:pt>
                <c:pt idx="14">
                  <c:v>7452.8232697131189</c:v>
                </c:pt>
                <c:pt idx="15">
                  <c:v>12440.864130511403</c:v>
                </c:pt>
                <c:pt idx="16">
                  <c:v>5844.9944393365422</c:v>
                </c:pt>
                <c:pt idx="17">
                  <c:v>14131.379560633273</c:v>
                </c:pt>
                <c:pt idx="18">
                  <c:v>19166.415390780068</c:v>
                </c:pt>
                <c:pt idx="19">
                  <c:v>15448.77797547471</c:v>
                </c:pt>
                <c:pt idx="20">
                  <c:v>20201.097313875951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E-4D31-9A9B-4EBE04BDCED8}"/>
            </c:ext>
          </c:extLst>
        </c:ser>
        <c:ser>
          <c:idx val="1"/>
          <c:order val="1"/>
          <c:tx>
            <c:strRef>
              <c:f>מחוז_ענף_כלכלי__סדר!$Q$2:$Q$3</c:f>
              <c:strCache>
                <c:ptCount val="1"/>
                <c:pt idx="0">
                  <c:v>דרום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מחוז_ענף_כלכלי__סדר!$O$4:$O$25</c:f>
              <c:strCache>
                <c:ptCount val="21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  <c:pt idx="20">
                  <c:v>(blank)</c:v>
                </c:pt>
              </c:strCache>
            </c:strRef>
          </c:cat>
          <c:val>
            <c:numRef>
              <c:f>מחוז_ענף_כלכלי__סדר!$Q$4:$Q$25</c:f>
              <c:numCache>
                <c:formatCode>_ * #,##0_ ;_ * \-#,##0_ ;_ * "-"??_ ;_ @_ </c:formatCode>
                <c:ptCount val="21"/>
                <c:pt idx="0">
                  <c:v>7019.4053183316901</c:v>
                </c:pt>
                <c:pt idx="1">
                  <c:v>25753.131670732033</c:v>
                </c:pt>
                <c:pt idx="2">
                  <c:v>13878.67953420197</c:v>
                </c:pt>
                <c:pt idx="3">
                  <c:v>17448.40231115503</c:v>
                </c:pt>
                <c:pt idx="4">
                  <c:v>11371.465575583685</c:v>
                </c:pt>
                <c:pt idx="5">
                  <c:v>10663.384815064735</c:v>
                </c:pt>
                <c:pt idx="6">
                  <c:v>14259.207296463886</c:v>
                </c:pt>
                <c:pt idx="7">
                  <c:v>29879.92707123571</c:v>
                </c:pt>
                <c:pt idx="8">
                  <c:v>19665.652749086399</c:v>
                </c:pt>
                <c:pt idx="9">
                  <c:v>11536.024152767444</c:v>
                </c:pt>
                <c:pt idx="10">
                  <c:v>8367.4328067486058</c:v>
                </c:pt>
                <c:pt idx="11">
                  <c:v>10846.157636782686</c:v>
                </c:pt>
                <c:pt idx="12">
                  <c:v>5947.2032508701259</c:v>
                </c:pt>
                <c:pt idx="13">
                  <c:v>8269.8853009537816</c:v>
                </c:pt>
                <c:pt idx="14">
                  <c:v>6163.8218103940944</c:v>
                </c:pt>
                <c:pt idx="15">
                  <c:v>11965.404223852194</c:v>
                </c:pt>
                <c:pt idx="16">
                  <c:v>6143.1605139256126</c:v>
                </c:pt>
                <c:pt idx="17">
                  <c:v>12638.144544496805</c:v>
                </c:pt>
                <c:pt idx="18">
                  <c:v>16293.98449268785</c:v>
                </c:pt>
                <c:pt idx="19">
                  <c:v>14445.404121962247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7-4A38-8C8F-10C770160484}"/>
            </c:ext>
          </c:extLst>
        </c:ser>
        <c:ser>
          <c:idx val="2"/>
          <c:order val="2"/>
          <c:tx>
            <c:strRef>
              <c:f>מחוז_ענף_כלכלי__סדר!$R$2:$R$3</c:f>
              <c:strCache>
                <c:ptCount val="1"/>
                <c:pt idx="0">
                  <c:v>חיפה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מחוז_ענף_כלכלי__סדר!$O$4:$O$25</c:f>
              <c:strCache>
                <c:ptCount val="21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  <c:pt idx="20">
                  <c:v>(blank)</c:v>
                </c:pt>
              </c:strCache>
            </c:strRef>
          </c:cat>
          <c:val>
            <c:numRef>
              <c:f>מחוז_ענף_כלכלי__סדר!$R$4:$R$25</c:f>
              <c:numCache>
                <c:formatCode>_ * #,##0_ ;_ * \-#,##0_ ;_ * "-"??_ ;_ @_ </c:formatCode>
                <c:ptCount val="21"/>
                <c:pt idx="0">
                  <c:v>6135.3687178050486</c:v>
                </c:pt>
                <c:pt idx="1">
                  <c:v>30523.102705618257</c:v>
                </c:pt>
                <c:pt idx="2">
                  <c:v>13794.101031221229</c:v>
                </c:pt>
                <c:pt idx="3">
                  <c:v>16382.31220012626</c:v>
                </c:pt>
                <c:pt idx="4">
                  <c:v>10656.474528735111</c:v>
                </c:pt>
                <c:pt idx="5">
                  <c:v>11241.57430604143</c:v>
                </c:pt>
                <c:pt idx="6">
                  <c:v>14174.927753596363</c:v>
                </c:pt>
                <c:pt idx="7">
                  <c:v>21114.719003429342</c:v>
                </c:pt>
                <c:pt idx="8">
                  <c:v>24356.973139813981</c:v>
                </c:pt>
                <c:pt idx="9">
                  <c:v>12899.628508901858</c:v>
                </c:pt>
                <c:pt idx="10">
                  <c:v>9359.7986218584992</c:v>
                </c:pt>
                <c:pt idx="11">
                  <c:v>12534.490945501482</c:v>
                </c:pt>
                <c:pt idx="12">
                  <c:v>5105.2023921430246</c:v>
                </c:pt>
                <c:pt idx="13">
                  <c:v>7998.6005580402243</c:v>
                </c:pt>
                <c:pt idx="14">
                  <c:v>6656.3170329893392</c:v>
                </c:pt>
                <c:pt idx="15">
                  <c:v>13797.428358666881</c:v>
                </c:pt>
                <c:pt idx="16">
                  <c:v>6648.8934770170245</c:v>
                </c:pt>
                <c:pt idx="17">
                  <c:v>16279.244975277337</c:v>
                </c:pt>
                <c:pt idx="18">
                  <c:v>17743.833676267215</c:v>
                </c:pt>
                <c:pt idx="19">
                  <c:v>15981.59334499195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97-4A38-8C8F-10C770160484}"/>
            </c:ext>
          </c:extLst>
        </c:ser>
        <c:ser>
          <c:idx val="3"/>
          <c:order val="3"/>
          <c:tx>
            <c:strRef>
              <c:f>מחוז_ענף_כלכלי__סדר!$S$2:$S$3</c:f>
              <c:strCache>
                <c:ptCount val="1"/>
                <c:pt idx="0">
                  <c:v>ירושלים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מחוז_ענף_כלכלי__סדר!$O$4:$O$25</c:f>
              <c:strCache>
                <c:ptCount val="21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  <c:pt idx="20">
                  <c:v>(blank)</c:v>
                </c:pt>
              </c:strCache>
            </c:strRef>
          </c:cat>
          <c:val>
            <c:numRef>
              <c:f>מחוז_ענף_כלכלי__סדר!$S$4:$S$25</c:f>
              <c:numCache>
                <c:formatCode>_ * #,##0_ ;_ * \-#,##0_ ;_ * "-"??_ ;_ @_ </c:formatCode>
                <c:ptCount val="21"/>
                <c:pt idx="0">
                  <c:v>7273.3308895472373</c:v>
                </c:pt>
                <c:pt idx="1">
                  <c:v>22878.199597692073</c:v>
                </c:pt>
                <c:pt idx="2">
                  <c:v>10211.798184344572</c:v>
                </c:pt>
                <c:pt idx="3">
                  <c:v>19020.572895321835</c:v>
                </c:pt>
                <c:pt idx="4">
                  <c:v>8916.2721435665044</c:v>
                </c:pt>
                <c:pt idx="5">
                  <c:v>8847.2289277498385</c:v>
                </c:pt>
                <c:pt idx="6">
                  <c:v>13911.92839586735</c:v>
                </c:pt>
                <c:pt idx="7">
                  <c:v>16066.058400926557</c:v>
                </c:pt>
                <c:pt idx="8">
                  <c:v>19873.731703579262</c:v>
                </c:pt>
                <c:pt idx="9">
                  <c:v>13510.56003901166</c:v>
                </c:pt>
                <c:pt idx="10">
                  <c:v>7686.4273609288248</c:v>
                </c:pt>
                <c:pt idx="11">
                  <c:v>11589.133630688222</c:v>
                </c:pt>
                <c:pt idx="12">
                  <c:v>5857.2449053189403</c:v>
                </c:pt>
                <c:pt idx="13">
                  <c:v>8476.8257714222964</c:v>
                </c:pt>
                <c:pt idx="14">
                  <c:v>6559.6867021095095</c:v>
                </c:pt>
                <c:pt idx="15">
                  <c:v>9744.8237800905554</c:v>
                </c:pt>
                <c:pt idx="16">
                  <c:v>6293.5425601773841</c:v>
                </c:pt>
                <c:pt idx="17">
                  <c:v>12806.090418789139</c:v>
                </c:pt>
                <c:pt idx="18">
                  <c:v>19067.109164340309</c:v>
                </c:pt>
                <c:pt idx="19">
                  <c:v>13431.295419629871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97-4A38-8C8F-10C770160484}"/>
            </c:ext>
          </c:extLst>
        </c:ser>
        <c:ser>
          <c:idx val="4"/>
          <c:order val="4"/>
          <c:tx>
            <c:strRef>
              <c:f>מחוז_ענף_כלכלי__סדר!$T$2:$T$3</c:f>
              <c:strCache>
                <c:ptCount val="1"/>
                <c:pt idx="0">
                  <c:v>מחוז צפון ללא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מחוז_ענף_כלכלי__סדר!$O$4:$O$25</c:f>
              <c:strCache>
                <c:ptCount val="21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  <c:pt idx="20">
                  <c:v>(blank)</c:v>
                </c:pt>
              </c:strCache>
            </c:strRef>
          </c:cat>
          <c:val>
            <c:numRef>
              <c:f>מחוז_ענף_כלכלי__סדר!$T$4:$T$25</c:f>
              <c:numCache>
                <c:formatCode>_ * #,##0_ ;_ * \-#,##0_ ;_ * "-"??_ ;_ @_ </c:formatCode>
                <c:ptCount val="21"/>
                <c:pt idx="0">
                  <c:v>6303.123791024188</c:v>
                </c:pt>
                <c:pt idx="1">
                  <c:v>28054.89095490046</c:v>
                </c:pt>
                <c:pt idx="2">
                  <c:v>12162.72476835682</c:v>
                </c:pt>
                <c:pt idx="3">
                  <c:v>15987.164578477083</c:v>
                </c:pt>
                <c:pt idx="4">
                  <c:v>8219.2358950124963</c:v>
                </c:pt>
                <c:pt idx="5">
                  <c:v>11295.911590740492</c:v>
                </c:pt>
                <c:pt idx="6">
                  <c:v>13484.720016979349</c:v>
                </c:pt>
                <c:pt idx="7">
                  <c:v>16912.906660732817</c:v>
                </c:pt>
                <c:pt idx="8">
                  <c:v>21035.312210438391</c:v>
                </c:pt>
                <c:pt idx="9">
                  <c:v>12177.888239944699</c:v>
                </c:pt>
                <c:pt idx="10">
                  <c:v>7780.7429624662418</c:v>
                </c:pt>
                <c:pt idx="11">
                  <c:v>9456.4944253142548</c:v>
                </c:pt>
                <c:pt idx="12">
                  <c:v>5292.8581625719889</c:v>
                </c:pt>
                <c:pt idx="13">
                  <c:v>7844.968429049678</c:v>
                </c:pt>
                <c:pt idx="14">
                  <c:v>5885.5566795004206</c:v>
                </c:pt>
                <c:pt idx="15">
                  <c:v>10637.9088649808</c:v>
                </c:pt>
                <c:pt idx="16">
                  <c:v>6253.8448729764978</c:v>
                </c:pt>
                <c:pt idx="17">
                  <c:v>12255.112335383887</c:v>
                </c:pt>
                <c:pt idx="18">
                  <c:v>14707.372118521154</c:v>
                </c:pt>
                <c:pt idx="19">
                  <c:v>12463.319726305637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97-4A38-8C8F-10C770160484}"/>
            </c:ext>
          </c:extLst>
        </c:ser>
        <c:ser>
          <c:idx val="5"/>
          <c:order val="5"/>
          <c:tx>
            <c:strRef>
              <c:f>מחוז_ענף_כלכלי__סדר!$U$2:$U$3</c:f>
              <c:strCache>
                <c:ptCount val="1"/>
                <c:pt idx="0">
                  <c:v>מרכז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מחוז_ענף_כלכלי__סדר!$O$4:$O$25</c:f>
              <c:strCache>
                <c:ptCount val="21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  <c:pt idx="20">
                  <c:v>(blank)</c:v>
                </c:pt>
              </c:strCache>
            </c:strRef>
          </c:cat>
          <c:val>
            <c:numRef>
              <c:f>מחוז_ענף_כלכלי__סדר!$U$4:$U$25</c:f>
              <c:numCache>
                <c:formatCode>_ * #,##0_ ;_ * \-#,##0_ ;_ * "-"??_ ;_ @_ </c:formatCode>
                <c:ptCount val="21"/>
                <c:pt idx="0">
                  <c:v>6581.5360812324398</c:v>
                </c:pt>
                <c:pt idx="1">
                  <c:v>32673.111847134383</c:v>
                </c:pt>
                <c:pt idx="2">
                  <c:v>15244.7464192717</c:v>
                </c:pt>
                <c:pt idx="3">
                  <c:v>19083.975593212996</c:v>
                </c:pt>
                <c:pt idx="4">
                  <c:v>14328.221048281899</c:v>
                </c:pt>
                <c:pt idx="5">
                  <c:v>11072.180287357725</c:v>
                </c:pt>
                <c:pt idx="6">
                  <c:v>15749.700987476506</c:v>
                </c:pt>
                <c:pt idx="7">
                  <c:v>26195.454659414328</c:v>
                </c:pt>
                <c:pt idx="8">
                  <c:v>29126.390582014243</c:v>
                </c:pt>
                <c:pt idx="9">
                  <c:v>12871.757287834231</c:v>
                </c:pt>
                <c:pt idx="10">
                  <c:v>11319.050858406481</c:v>
                </c:pt>
                <c:pt idx="11">
                  <c:v>15996.55524902031</c:v>
                </c:pt>
                <c:pt idx="12">
                  <c:v>4992.4098701353769</c:v>
                </c:pt>
                <c:pt idx="13">
                  <c:v>9911.6222787436509</c:v>
                </c:pt>
                <c:pt idx="14">
                  <c:v>8216.4373540596844</c:v>
                </c:pt>
                <c:pt idx="15">
                  <c:v>13756.646507449979</c:v>
                </c:pt>
                <c:pt idx="16">
                  <c:v>7400.7289641603229</c:v>
                </c:pt>
                <c:pt idx="17">
                  <c:v>18536.830886886637</c:v>
                </c:pt>
                <c:pt idx="18">
                  <c:v>22398.884131456281</c:v>
                </c:pt>
                <c:pt idx="19">
                  <c:v>20192.49834793415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97-4A38-8C8F-10C770160484}"/>
            </c:ext>
          </c:extLst>
        </c:ser>
        <c:ser>
          <c:idx val="6"/>
          <c:order val="6"/>
          <c:tx>
            <c:strRef>
              <c:f>מחוז_ענף_כלכלי__סדר!$V$2:$V$3</c:f>
              <c:strCache>
                <c:ptCount val="1"/>
                <c:pt idx="0">
                  <c:v>נפות צפת וגולן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מחוז_ענף_כלכלי__סדר!$O$4:$O$25</c:f>
              <c:strCache>
                <c:ptCount val="21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  <c:pt idx="20">
                  <c:v>(blank)</c:v>
                </c:pt>
              </c:strCache>
            </c:strRef>
          </c:cat>
          <c:val>
            <c:numRef>
              <c:f>מחוז_ענף_כלכלי__סדר!$V$4:$V$25</c:f>
              <c:numCache>
                <c:formatCode>_ * #,##0_ ;_ * \-#,##0_ ;_ * "-"??_ ;_ @_ </c:formatCode>
                <c:ptCount val="21"/>
                <c:pt idx="0">
                  <c:v>6768.9292936943675</c:v>
                </c:pt>
                <c:pt idx="1">
                  <c:v>22344.183437761072</c:v>
                </c:pt>
                <c:pt idx="2">
                  <c:v>15086.191980270938</c:v>
                </c:pt>
                <c:pt idx="3">
                  <c:v>13491.191086691086</c:v>
                </c:pt>
                <c:pt idx="4">
                  <c:v>8594.0468541356695</c:v>
                </c:pt>
                <c:pt idx="5">
                  <c:v>10469.97869227929</c:v>
                </c:pt>
                <c:pt idx="6">
                  <c:v>13532.036069626356</c:v>
                </c:pt>
                <c:pt idx="7">
                  <c:v>17832.677319902312</c:v>
                </c:pt>
                <c:pt idx="8">
                  <c:v>18955.910744194385</c:v>
                </c:pt>
                <c:pt idx="9">
                  <c:v>11608.868347650718</c:v>
                </c:pt>
                <c:pt idx="10">
                  <c:v>7873.3291539275297</c:v>
                </c:pt>
                <c:pt idx="11">
                  <c:v>11414.499252657064</c:v>
                </c:pt>
                <c:pt idx="12">
                  <c:v>5638.7304681440437</c:v>
                </c:pt>
                <c:pt idx="13">
                  <c:v>7022.5052718076649</c:v>
                </c:pt>
                <c:pt idx="14">
                  <c:v>6188.4993867388839</c:v>
                </c:pt>
                <c:pt idx="15">
                  <c:v>10064.828741200567</c:v>
                </c:pt>
                <c:pt idx="16">
                  <c:v>6201.0555660582631</c:v>
                </c:pt>
                <c:pt idx="17">
                  <c:v>11334.503463426914</c:v>
                </c:pt>
                <c:pt idx="18">
                  <c:v>14380.111017982228</c:v>
                </c:pt>
                <c:pt idx="19">
                  <c:v>12236.242516189024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97-4A38-8C8F-10C770160484}"/>
            </c:ext>
          </c:extLst>
        </c:ser>
        <c:ser>
          <c:idx val="7"/>
          <c:order val="7"/>
          <c:tx>
            <c:strRef>
              <c:f>מחוז_ענף_כלכלי__סדר!$W$2:$W$3</c:f>
              <c:strCache>
                <c:ptCount val="1"/>
                <c:pt idx="0">
                  <c:v>תל אביב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מחוז_ענף_כלכלי__סדר!$O$4:$O$25</c:f>
              <c:strCache>
                <c:ptCount val="21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  <c:pt idx="20">
                  <c:v>(blank)</c:v>
                </c:pt>
              </c:strCache>
            </c:strRef>
          </c:cat>
          <c:val>
            <c:numRef>
              <c:f>מחוז_ענף_כלכלי__סדר!$W$4:$W$25</c:f>
              <c:numCache>
                <c:formatCode>_ * #,##0_ ;_ * \-#,##0_ ;_ * "-"??_ ;_ @_ </c:formatCode>
                <c:ptCount val="21"/>
                <c:pt idx="0">
                  <c:v>8300.5438920506349</c:v>
                </c:pt>
                <c:pt idx="1">
                  <c:v>30032.855091758403</c:v>
                </c:pt>
                <c:pt idx="2">
                  <c:v>15550.525522490023</c:v>
                </c:pt>
                <c:pt idx="3">
                  <c:v>18552.256258775848</c:v>
                </c:pt>
                <c:pt idx="4">
                  <c:v>15388.597601896463</c:v>
                </c:pt>
                <c:pt idx="5">
                  <c:v>9646.8530112627468</c:v>
                </c:pt>
                <c:pt idx="6">
                  <c:v>15186.067438150598</c:v>
                </c:pt>
                <c:pt idx="7">
                  <c:v>36565.012180362181</c:v>
                </c:pt>
                <c:pt idx="8">
                  <c:v>30425.284072976014</c:v>
                </c:pt>
                <c:pt idx="9">
                  <c:v>13873.637294063614</c:v>
                </c:pt>
                <c:pt idx="10">
                  <c:v>11905.126720181717</c:v>
                </c:pt>
                <c:pt idx="11">
                  <c:v>17234.842315258884</c:v>
                </c:pt>
                <c:pt idx="12">
                  <c:v>6330.1337223624241</c:v>
                </c:pt>
                <c:pt idx="13">
                  <c:v>9090.3376795520926</c:v>
                </c:pt>
                <c:pt idx="14">
                  <c:v>8878.0606264821818</c:v>
                </c:pt>
                <c:pt idx="15">
                  <c:v>13884.747231182664</c:v>
                </c:pt>
                <c:pt idx="16">
                  <c:v>8138.4629984919611</c:v>
                </c:pt>
                <c:pt idx="17">
                  <c:v>18890.173182323513</c:v>
                </c:pt>
                <c:pt idx="18">
                  <c:v>24120.993754856849</c:v>
                </c:pt>
                <c:pt idx="19">
                  <c:v>19887.931745701873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97-4A38-8C8F-10C770160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827519"/>
        <c:axId val="665828479"/>
      </c:radarChart>
      <c:catAx>
        <c:axId val="6658275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65828479"/>
        <c:crosses val="autoZero"/>
        <c:auto val="1"/>
        <c:lblAlgn val="ctr"/>
        <c:lblOffset val="100"/>
        <c:noMultiLvlLbl val="0"/>
      </c:catAx>
      <c:valAx>
        <c:axId val="66582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6582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שכר ממוצע לפי ענפים</a:t>
            </a:r>
            <a:r>
              <a:rPr lang="he-IL" baseline="0"/>
              <a:t> - אשכול גליל מזרחי אל מול הממוצע הארצי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ממוצע שכר ענפי באשכול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מחוז_ענף_כלכלי__סדר!$O$39:$O$58</c:f>
              <c:strCache>
                <c:ptCount val="20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</c:strCache>
            </c:strRef>
          </c:cat>
          <c:val>
            <c:numRef>
              <c:f>מחוז_ענף_כלכלי__סדר!$P$39:$P$58</c:f>
              <c:numCache>
                <c:formatCode>General</c:formatCode>
                <c:ptCount val="20"/>
                <c:pt idx="0">
                  <c:v>6768.9292936943675</c:v>
                </c:pt>
                <c:pt idx="1">
                  <c:v>22344.183437761072</c:v>
                </c:pt>
                <c:pt idx="2">
                  <c:v>15086.191980270938</c:v>
                </c:pt>
                <c:pt idx="3">
                  <c:v>13491.191086691086</c:v>
                </c:pt>
                <c:pt idx="4">
                  <c:v>8594.0468541356695</c:v>
                </c:pt>
                <c:pt idx="5">
                  <c:v>10469.97869227929</c:v>
                </c:pt>
                <c:pt idx="6">
                  <c:v>13532.036069626356</c:v>
                </c:pt>
                <c:pt idx="7">
                  <c:v>17832.677319902312</c:v>
                </c:pt>
                <c:pt idx="8">
                  <c:v>18955.910744194385</c:v>
                </c:pt>
                <c:pt idx="9">
                  <c:v>11608.868347650718</c:v>
                </c:pt>
                <c:pt idx="10">
                  <c:v>7873.3291539275297</c:v>
                </c:pt>
                <c:pt idx="11">
                  <c:v>11414.499252657064</c:v>
                </c:pt>
                <c:pt idx="12">
                  <c:v>5638.7304681440437</c:v>
                </c:pt>
                <c:pt idx="13">
                  <c:v>7022.5052718076649</c:v>
                </c:pt>
                <c:pt idx="14">
                  <c:v>6188.4993867388839</c:v>
                </c:pt>
                <c:pt idx="15">
                  <c:v>10064.828741200567</c:v>
                </c:pt>
                <c:pt idx="16">
                  <c:v>6201.0555660582631</c:v>
                </c:pt>
                <c:pt idx="17">
                  <c:v>11334.503463426914</c:v>
                </c:pt>
                <c:pt idx="18">
                  <c:v>14380.111017982228</c:v>
                </c:pt>
                <c:pt idx="19">
                  <c:v>12236.242516189024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3-4B4D-ACB3-519939424F27}"/>
            </c:ext>
          </c:extLst>
        </c:ser>
        <c:ser>
          <c:idx val="1"/>
          <c:order val="1"/>
          <c:tx>
            <c:v>ממוצע שכר ענפי - ארצי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מחוז_ענף_כלכלי__סדר!$O$39:$O$58</c:f>
              <c:strCache>
                <c:ptCount val="20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</c:strCache>
            </c:strRef>
          </c:cat>
          <c:val>
            <c:numRef>
              <c:f>מחוז_ענף_כלכלי__סדר!$Q$39:$Q$58</c:f>
              <c:numCache>
                <c:formatCode>General</c:formatCode>
                <c:ptCount val="20"/>
                <c:pt idx="0">
                  <c:v>6794.7196769755128</c:v>
                </c:pt>
                <c:pt idx="1">
                  <c:v>27517.288275347466</c:v>
                </c:pt>
                <c:pt idx="2">
                  <c:v>14015.040980811018</c:v>
                </c:pt>
                <c:pt idx="3">
                  <c:v>17773.102320636437</c:v>
                </c:pt>
                <c:pt idx="4">
                  <c:v>11320.915219483777</c:v>
                </c:pt>
                <c:pt idx="5">
                  <c:v>10293.101323450195</c:v>
                </c:pt>
                <c:pt idx="6">
                  <c:v>13845.313914173759</c:v>
                </c:pt>
                <c:pt idx="7">
                  <c:v>23360.191984314457</c:v>
                </c:pt>
                <c:pt idx="8">
                  <c:v>23148.139877968417</c:v>
                </c:pt>
                <c:pt idx="9">
                  <c:v>12388.606935182615</c:v>
                </c:pt>
                <c:pt idx="10">
                  <c:v>9094.6632318522825</c:v>
                </c:pt>
                <c:pt idx="11">
                  <c:v>12578.140648149647</c:v>
                </c:pt>
                <c:pt idx="12">
                  <c:v>5469.0017479461139</c:v>
                </c:pt>
                <c:pt idx="13">
                  <c:v>8447.0787992758924</c:v>
                </c:pt>
                <c:pt idx="14">
                  <c:v>7000.1503577484045</c:v>
                </c:pt>
                <c:pt idx="15">
                  <c:v>12036.581479741879</c:v>
                </c:pt>
                <c:pt idx="16">
                  <c:v>6615.5854240179506</c:v>
                </c:pt>
                <c:pt idx="17">
                  <c:v>14608.934920902188</c:v>
                </c:pt>
                <c:pt idx="18">
                  <c:v>18484.837968361495</c:v>
                </c:pt>
                <c:pt idx="19">
                  <c:v>15510.882899773682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53-4B4D-ACB3-519939424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6204544"/>
        <c:axId val="1366212224"/>
      </c:barChart>
      <c:lineChart>
        <c:grouping val="standard"/>
        <c:varyColors val="0"/>
        <c:ser>
          <c:idx val="2"/>
          <c:order val="2"/>
          <c:tx>
            <c:strRef>
              <c:f>מחוז_ענף_כלכלי__סדר!$R$38</c:f>
              <c:strCache>
                <c:ptCount val="1"/>
                <c:pt idx="0">
                  <c:v>ממוצע שכר באשכול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מחוז_ענף_כלכלי__סדר!$R$39:$R$58</c:f>
              <c:numCache>
                <c:formatCode>General</c:formatCode>
                <c:ptCount val="20"/>
                <c:pt idx="0">
                  <c:v>11551.915933216918</c:v>
                </c:pt>
                <c:pt idx="1">
                  <c:v>11551.915933216918</c:v>
                </c:pt>
                <c:pt idx="2">
                  <c:v>11551.915933216918</c:v>
                </c:pt>
                <c:pt idx="3">
                  <c:v>11551.915933216918</c:v>
                </c:pt>
                <c:pt idx="4">
                  <c:v>11551.915933216918</c:v>
                </c:pt>
                <c:pt idx="5">
                  <c:v>11551.915933216918</c:v>
                </c:pt>
                <c:pt idx="6">
                  <c:v>11551.915933216918</c:v>
                </c:pt>
                <c:pt idx="7">
                  <c:v>11551.915933216918</c:v>
                </c:pt>
                <c:pt idx="8">
                  <c:v>11551.915933216918</c:v>
                </c:pt>
                <c:pt idx="9">
                  <c:v>11551.915933216918</c:v>
                </c:pt>
                <c:pt idx="10">
                  <c:v>11551.915933216918</c:v>
                </c:pt>
                <c:pt idx="11">
                  <c:v>11551.915933216918</c:v>
                </c:pt>
                <c:pt idx="12">
                  <c:v>11551.915933216918</c:v>
                </c:pt>
                <c:pt idx="13">
                  <c:v>11551.915933216918</c:v>
                </c:pt>
                <c:pt idx="14">
                  <c:v>11551.915933216918</c:v>
                </c:pt>
                <c:pt idx="15">
                  <c:v>11551.915933216918</c:v>
                </c:pt>
                <c:pt idx="16">
                  <c:v>11551.915933216918</c:v>
                </c:pt>
                <c:pt idx="17">
                  <c:v>11551.915933216918</c:v>
                </c:pt>
                <c:pt idx="18">
                  <c:v>11551.915933216918</c:v>
                </c:pt>
                <c:pt idx="19">
                  <c:v>11551.915933216918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53-4B4D-ACB3-519939424F27}"/>
            </c:ext>
          </c:extLst>
        </c:ser>
        <c:ser>
          <c:idx val="3"/>
          <c:order val="3"/>
          <c:tx>
            <c:strRef>
              <c:f>מחוז_ענף_כלכלי__סדר!$S$38</c:f>
              <c:strCache>
                <c:ptCount val="1"/>
                <c:pt idx="0">
                  <c:v>ממוצע שכר ארצי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מחוז_ענף_כלכלי__סדר!$S$39:$S$58</c:f>
              <c:numCache>
                <c:formatCode>General</c:formatCode>
                <c:ptCount val="20"/>
                <c:pt idx="0">
                  <c:v>13515.113899305661</c:v>
                </c:pt>
                <c:pt idx="1">
                  <c:v>13515.113899305661</c:v>
                </c:pt>
                <c:pt idx="2">
                  <c:v>13515.113899305661</c:v>
                </c:pt>
                <c:pt idx="3">
                  <c:v>13515.113899305661</c:v>
                </c:pt>
                <c:pt idx="4">
                  <c:v>13515.113899305661</c:v>
                </c:pt>
                <c:pt idx="5">
                  <c:v>13515.113899305661</c:v>
                </c:pt>
                <c:pt idx="6">
                  <c:v>13515.113899305661</c:v>
                </c:pt>
                <c:pt idx="7">
                  <c:v>13515.113899305661</c:v>
                </c:pt>
                <c:pt idx="8">
                  <c:v>13515.113899305661</c:v>
                </c:pt>
                <c:pt idx="9">
                  <c:v>13515.113899305661</c:v>
                </c:pt>
                <c:pt idx="10">
                  <c:v>13515.113899305661</c:v>
                </c:pt>
                <c:pt idx="11">
                  <c:v>13515.113899305661</c:v>
                </c:pt>
                <c:pt idx="12">
                  <c:v>13515.113899305661</c:v>
                </c:pt>
                <c:pt idx="13">
                  <c:v>13515.113899305661</c:v>
                </c:pt>
                <c:pt idx="14">
                  <c:v>13515.113899305661</c:v>
                </c:pt>
                <c:pt idx="15">
                  <c:v>13515.113899305661</c:v>
                </c:pt>
                <c:pt idx="16">
                  <c:v>13515.113899305661</c:v>
                </c:pt>
                <c:pt idx="17">
                  <c:v>13515.113899305661</c:v>
                </c:pt>
                <c:pt idx="18">
                  <c:v>13515.113899305661</c:v>
                </c:pt>
                <c:pt idx="19">
                  <c:v>13515.113899305661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53-4B4D-ACB3-519939424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596464"/>
        <c:axId val="1426600784"/>
      </c:lineChart>
      <c:catAx>
        <c:axId val="1366204544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מקרא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366212224"/>
        <c:crosses val="autoZero"/>
        <c:auto val="1"/>
        <c:lblAlgn val="ctr"/>
        <c:lblOffset val="100"/>
        <c:noMultiLvlLbl val="0"/>
      </c:catAx>
      <c:valAx>
        <c:axId val="13662122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סכום בש"ח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366204544"/>
        <c:crosses val="autoZero"/>
        <c:crossBetween val="between"/>
      </c:valAx>
      <c:valAx>
        <c:axId val="14266007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26596464"/>
        <c:crosses val="autoZero"/>
        <c:crossBetween val="between"/>
      </c:valAx>
      <c:catAx>
        <c:axId val="1426596464"/>
        <c:scaling>
          <c:orientation val="minMax"/>
        </c:scaling>
        <c:delete val="1"/>
        <c:axPos val="b"/>
        <c:majorTickMark val="out"/>
        <c:minorTickMark val="none"/>
        <c:tickLblPos val="nextTo"/>
        <c:crossAx val="1426600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שכר ממוצע לפי ענפים</a:t>
            </a:r>
            <a:r>
              <a:rPr lang="he-IL" baseline="0"/>
              <a:t> - אשכול גליל מזרחי אל מול הממוצע הארצי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ממוצע שכר ענפי באשכול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מחוז_ענף_כלכלי__סדר!$O$39:$O$58</c:f>
              <c:strCache>
                <c:ptCount val="20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</c:strCache>
            </c:strRef>
          </c:cat>
          <c:val>
            <c:numRef>
              <c:f>מחוז_ענף_כלכלי__סדר!$P$39:$P$58</c:f>
              <c:numCache>
                <c:formatCode>General</c:formatCode>
                <c:ptCount val="20"/>
                <c:pt idx="0">
                  <c:v>6768.9292936943675</c:v>
                </c:pt>
                <c:pt idx="1">
                  <c:v>22344.183437761072</c:v>
                </c:pt>
                <c:pt idx="2">
                  <c:v>15086.191980270938</c:v>
                </c:pt>
                <c:pt idx="3">
                  <c:v>13491.191086691086</c:v>
                </c:pt>
                <c:pt idx="4">
                  <c:v>8594.0468541356695</c:v>
                </c:pt>
                <c:pt idx="5">
                  <c:v>10469.97869227929</c:v>
                </c:pt>
                <c:pt idx="6">
                  <c:v>13532.036069626356</c:v>
                </c:pt>
                <c:pt idx="7">
                  <c:v>17832.677319902312</c:v>
                </c:pt>
                <c:pt idx="8">
                  <c:v>18955.910744194385</c:v>
                </c:pt>
                <c:pt idx="9">
                  <c:v>11608.868347650718</c:v>
                </c:pt>
                <c:pt idx="10">
                  <c:v>7873.3291539275297</c:v>
                </c:pt>
                <c:pt idx="11">
                  <c:v>11414.499252657064</c:v>
                </c:pt>
                <c:pt idx="12">
                  <c:v>5638.7304681440437</c:v>
                </c:pt>
                <c:pt idx="13">
                  <c:v>7022.5052718076649</c:v>
                </c:pt>
                <c:pt idx="14">
                  <c:v>6188.4993867388839</c:v>
                </c:pt>
                <c:pt idx="15">
                  <c:v>10064.828741200567</c:v>
                </c:pt>
                <c:pt idx="16">
                  <c:v>6201.0555660582631</c:v>
                </c:pt>
                <c:pt idx="17">
                  <c:v>11334.503463426914</c:v>
                </c:pt>
                <c:pt idx="18">
                  <c:v>14380.111017982228</c:v>
                </c:pt>
                <c:pt idx="19">
                  <c:v>12236.242516189024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2-4CF9-A736-D7625B9A9D7F}"/>
            </c:ext>
          </c:extLst>
        </c:ser>
        <c:ser>
          <c:idx val="1"/>
          <c:order val="1"/>
          <c:tx>
            <c:v>ממוצע שכר ענפי - ארצי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מחוז_ענף_כלכלי__סדר!$O$39:$O$58</c:f>
              <c:strCache>
                <c:ptCount val="20"/>
                <c:pt idx="0">
                  <c:v>אמנות, בידור ופנאי</c:v>
                </c:pt>
                <c:pt idx="1">
                  <c:v>אספקת חשמל, גז, קיטור ומיזוג אוויר</c:v>
                </c:pt>
                <c:pt idx="2">
                  <c:v>אספקת מים; שירותי ביוב, טיפול באשפה ובפסולת ושירותי טיהור</c:v>
                </c:pt>
                <c:pt idx="3">
                  <c:v>ארגונים וגופים חוץ-מדינתיים</c:v>
                </c:pt>
                <c:pt idx="4">
                  <c:v>בינוי</c:v>
                </c:pt>
                <c:pt idx="5">
                  <c:v>חינוך</c:v>
                </c:pt>
                <c:pt idx="6">
                  <c:v>חקלאות, ייעור ודיג</c:v>
                </c:pt>
                <c:pt idx="7">
                  <c:v>כרייה וחציבה</c:v>
                </c:pt>
                <c:pt idx="8">
                  <c:v>מידע ותקשורת</c:v>
                </c:pt>
                <c:pt idx="9">
                  <c:v>מינהל מקומי, מינהל ציבורי וביטחון; ביטוח לאומי חובה</c:v>
                </c:pt>
                <c:pt idx="10">
                  <c:v>מסחר סיטוני וקמעוני; תיקון כלי רכב מנועיים ואופנועים</c:v>
                </c:pt>
                <c:pt idx="11">
                  <c:v>פעילויות בנדל"ן</c:v>
                </c:pt>
                <c:pt idx="12">
                  <c:v>שירותי אירוח ואוכל</c:v>
                </c:pt>
                <c:pt idx="13">
                  <c:v>שירותי בריאות, רווחה וסעד</c:v>
                </c:pt>
                <c:pt idx="14">
                  <c:v>שירותי ניהול ותמיכה</c:v>
                </c:pt>
                <c:pt idx="15">
                  <c:v>שירותי תחבורה, אחסנה, דואר ובלדרות</c:v>
                </c:pt>
                <c:pt idx="16">
                  <c:v>שירותים אחרים</c:v>
                </c:pt>
                <c:pt idx="17">
                  <c:v>שירותים מקצועיים, מדעיים וטכניים</c:v>
                </c:pt>
                <c:pt idx="18">
                  <c:v>שירותים פיננסיים ושירותי ביטוח</c:v>
                </c:pt>
                <c:pt idx="19">
                  <c:v>תעשייה</c:v>
                </c:pt>
              </c:strCache>
            </c:strRef>
          </c:cat>
          <c:val>
            <c:numRef>
              <c:f>מחוז_ענף_כלכלי__סדר!$Q$39:$Q$58</c:f>
              <c:numCache>
                <c:formatCode>General</c:formatCode>
                <c:ptCount val="20"/>
                <c:pt idx="0">
                  <c:v>6794.7196769755128</c:v>
                </c:pt>
                <c:pt idx="1">
                  <c:v>27517.288275347466</c:v>
                </c:pt>
                <c:pt idx="2">
                  <c:v>14015.040980811018</c:v>
                </c:pt>
                <c:pt idx="3">
                  <c:v>17773.102320636437</c:v>
                </c:pt>
                <c:pt idx="4">
                  <c:v>11320.915219483777</c:v>
                </c:pt>
                <c:pt idx="5">
                  <c:v>10293.101323450195</c:v>
                </c:pt>
                <c:pt idx="6">
                  <c:v>13845.313914173759</c:v>
                </c:pt>
                <c:pt idx="7">
                  <c:v>23360.191984314457</c:v>
                </c:pt>
                <c:pt idx="8">
                  <c:v>23148.139877968417</c:v>
                </c:pt>
                <c:pt idx="9">
                  <c:v>12388.606935182615</c:v>
                </c:pt>
                <c:pt idx="10">
                  <c:v>9094.6632318522825</c:v>
                </c:pt>
                <c:pt idx="11">
                  <c:v>12578.140648149647</c:v>
                </c:pt>
                <c:pt idx="12">
                  <c:v>5469.0017479461139</c:v>
                </c:pt>
                <c:pt idx="13">
                  <c:v>8447.0787992758924</c:v>
                </c:pt>
                <c:pt idx="14">
                  <c:v>7000.1503577484045</c:v>
                </c:pt>
                <c:pt idx="15">
                  <c:v>12036.581479741879</c:v>
                </c:pt>
                <c:pt idx="16">
                  <c:v>6615.5854240179506</c:v>
                </c:pt>
                <c:pt idx="17">
                  <c:v>14608.934920902188</c:v>
                </c:pt>
                <c:pt idx="18">
                  <c:v>18484.837968361495</c:v>
                </c:pt>
                <c:pt idx="19">
                  <c:v>15510.882899773682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92-4CF9-A736-D7625B9A9D7F}"/>
            </c:ext>
          </c:extLst>
        </c:ser>
        <c:ser>
          <c:idx val="2"/>
          <c:order val="2"/>
          <c:tx>
            <c:strRef>
              <c:f>מחוז_ענף_כלכלי__סדר!$R$38</c:f>
              <c:strCache>
                <c:ptCount val="1"/>
                <c:pt idx="0">
                  <c:v>ממוצע שכר באשכול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מחוז_ענף_כלכלי__סדר!$R$39:$R$58</c:f>
              <c:numCache>
                <c:formatCode>General</c:formatCode>
                <c:ptCount val="20"/>
                <c:pt idx="0">
                  <c:v>11551.915933216918</c:v>
                </c:pt>
                <c:pt idx="1">
                  <c:v>11551.915933216918</c:v>
                </c:pt>
                <c:pt idx="2">
                  <c:v>11551.915933216918</c:v>
                </c:pt>
                <c:pt idx="3">
                  <c:v>11551.915933216918</c:v>
                </c:pt>
                <c:pt idx="4">
                  <c:v>11551.915933216918</c:v>
                </c:pt>
                <c:pt idx="5">
                  <c:v>11551.915933216918</c:v>
                </c:pt>
                <c:pt idx="6">
                  <c:v>11551.915933216918</c:v>
                </c:pt>
                <c:pt idx="7">
                  <c:v>11551.915933216918</c:v>
                </c:pt>
                <c:pt idx="8">
                  <c:v>11551.915933216918</c:v>
                </c:pt>
                <c:pt idx="9">
                  <c:v>11551.915933216918</c:v>
                </c:pt>
                <c:pt idx="10">
                  <c:v>11551.915933216918</c:v>
                </c:pt>
                <c:pt idx="11">
                  <c:v>11551.915933216918</c:v>
                </c:pt>
                <c:pt idx="12">
                  <c:v>11551.915933216918</c:v>
                </c:pt>
                <c:pt idx="13">
                  <c:v>11551.915933216918</c:v>
                </c:pt>
                <c:pt idx="14">
                  <c:v>11551.915933216918</c:v>
                </c:pt>
                <c:pt idx="15">
                  <c:v>11551.915933216918</c:v>
                </c:pt>
                <c:pt idx="16">
                  <c:v>11551.915933216918</c:v>
                </c:pt>
                <c:pt idx="17">
                  <c:v>11551.915933216918</c:v>
                </c:pt>
                <c:pt idx="18">
                  <c:v>11551.915933216918</c:v>
                </c:pt>
                <c:pt idx="19">
                  <c:v>11551.915933216918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92-4CF9-A736-D7625B9A9D7F}"/>
            </c:ext>
          </c:extLst>
        </c:ser>
        <c:ser>
          <c:idx val="3"/>
          <c:order val="3"/>
          <c:tx>
            <c:strRef>
              <c:f>מחוז_ענף_כלכלי__סדר!$S$38</c:f>
              <c:strCache>
                <c:ptCount val="1"/>
                <c:pt idx="0">
                  <c:v>ממוצע שכר ארצי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מחוז_ענף_כלכלי__סדר!$S$39:$S$58</c:f>
              <c:numCache>
                <c:formatCode>General</c:formatCode>
                <c:ptCount val="20"/>
                <c:pt idx="0">
                  <c:v>13515.113899305661</c:v>
                </c:pt>
                <c:pt idx="1">
                  <c:v>13515.113899305661</c:v>
                </c:pt>
                <c:pt idx="2">
                  <c:v>13515.113899305661</c:v>
                </c:pt>
                <c:pt idx="3">
                  <c:v>13515.113899305661</c:v>
                </c:pt>
                <c:pt idx="4">
                  <c:v>13515.113899305661</c:v>
                </c:pt>
                <c:pt idx="5">
                  <c:v>13515.113899305661</c:v>
                </c:pt>
                <c:pt idx="6">
                  <c:v>13515.113899305661</c:v>
                </c:pt>
                <c:pt idx="7">
                  <c:v>13515.113899305661</c:v>
                </c:pt>
                <c:pt idx="8">
                  <c:v>13515.113899305661</c:v>
                </c:pt>
                <c:pt idx="9">
                  <c:v>13515.113899305661</c:v>
                </c:pt>
                <c:pt idx="10">
                  <c:v>13515.113899305661</c:v>
                </c:pt>
                <c:pt idx="11">
                  <c:v>13515.113899305661</c:v>
                </c:pt>
                <c:pt idx="12">
                  <c:v>13515.113899305661</c:v>
                </c:pt>
                <c:pt idx="13">
                  <c:v>13515.113899305661</c:v>
                </c:pt>
                <c:pt idx="14">
                  <c:v>13515.113899305661</c:v>
                </c:pt>
                <c:pt idx="15">
                  <c:v>13515.113899305661</c:v>
                </c:pt>
                <c:pt idx="16">
                  <c:v>13515.113899305661</c:v>
                </c:pt>
                <c:pt idx="17">
                  <c:v>13515.113899305661</c:v>
                </c:pt>
                <c:pt idx="18">
                  <c:v>13515.113899305661</c:v>
                </c:pt>
                <c:pt idx="19">
                  <c:v>13515.113899305661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92-4CF9-A736-D7625B9A9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204544"/>
        <c:axId val="1366212224"/>
      </c:radarChart>
      <c:catAx>
        <c:axId val="1366204544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מקרא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366212224"/>
        <c:crosses val="autoZero"/>
        <c:auto val="1"/>
        <c:lblAlgn val="ctr"/>
        <c:lblOffset val="100"/>
        <c:noMultiLvlLbl val="0"/>
      </c:catAx>
      <c:valAx>
        <c:axId val="13662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סכום בש"ח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36620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1046867</xdr:colOff>
      <xdr:row>6</xdr:row>
      <xdr:rowOff>157842</xdr:rowOff>
    </xdr:to>
    <xdr:pic>
      <xdr:nvPicPr>
        <xdr:cNvPr id="2" name="תמונה 3">
          <a:extLst>
            <a:ext uri="{FF2B5EF4-FFF2-40B4-BE49-F238E27FC236}">
              <a16:creationId xmlns:a16="http://schemas.microsoft.com/office/drawing/2014/main" id="{FFF48E31-D257-4DE8-9186-BB5F21448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8792183" y="0"/>
          <a:ext cx="2751842" cy="13008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687480</xdr:colOff>
      <xdr:row>36</xdr:row>
      <xdr:rowOff>86285</xdr:rowOff>
    </xdr:from>
    <xdr:to>
      <xdr:col>33</xdr:col>
      <xdr:colOff>1376642</xdr:colOff>
      <xdr:row>73</xdr:row>
      <xdr:rowOff>105335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269C3-D127-9EB2-19E6-B4E4DEB7D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35049</xdr:colOff>
      <xdr:row>67</xdr:row>
      <xdr:rowOff>42795</xdr:rowOff>
    </xdr:from>
    <xdr:to>
      <xdr:col>25</xdr:col>
      <xdr:colOff>1302815</xdr:colOff>
      <xdr:row>96</xdr:row>
      <xdr:rowOff>116965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9E3992-DDA5-F36F-4082-25B6D829F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110121</xdr:colOff>
      <xdr:row>66</xdr:row>
      <xdr:rowOff>129886</xdr:rowOff>
    </xdr:from>
    <xdr:to>
      <xdr:col>15</xdr:col>
      <xdr:colOff>1216828</xdr:colOff>
      <xdr:row>96</xdr:row>
      <xdr:rowOff>30873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6CE34C-F398-4300-8D5B-7C07E35EA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ארנון ברק" refreshedDate="45482.475562615742" createdVersion="8" refreshedVersion="8" minRefreshableVersion="3" recordCount="746" xr:uid="{1A147FF4-FA47-4B43-B86B-E13B3F0F166D}">
  <cacheSource type="worksheet">
    <worksheetSource ref="A1:E1048576" sheet="רשויות_ענף_כלכלי__2ספרות_"/>
  </cacheSource>
  <cacheFields count="5">
    <cacheField name="ShemMaamadMuniOMoeza" numFmtId="0">
      <sharedItems containsBlank="1" count="19">
        <s v="בוקעאתא"/>
        <s v="ג'ש (גוש חלב)"/>
        <s v="גולן"/>
        <s v="הגליל העליון"/>
        <s v="חצור הגלילית"/>
        <s v="טובא-זנגרייה"/>
        <s v="יסוד המעלה"/>
        <s v="מבואות החרמון"/>
        <s v="מג'דל שמס"/>
        <s v="מטולה"/>
        <s v="מסעדה"/>
        <s v="מרום הגליל"/>
        <s v="ע'ג'ר"/>
        <s v="עין קנייא"/>
        <s v="צפת"/>
        <s v="קצרין"/>
        <s v="קריית שמונה"/>
        <s v="ראש פינה"/>
        <m/>
      </sharedItems>
    </cacheField>
    <cacheField name="ענף כלכלי" numFmtId="0">
      <sharedItems containsString="0" containsBlank="1" containsNumber="1" containsInteger="1" minValue="1" maxValue="96" count="66">
        <n v="1"/>
        <n v="4"/>
        <n v="10"/>
        <n v="11"/>
        <n v="13"/>
        <n v="20"/>
        <n v="22"/>
        <n v="23"/>
        <n v="32"/>
        <n v="33"/>
        <n v="41"/>
        <n v="42"/>
        <n v="43"/>
        <n v="45"/>
        <n v="46"/>
        <n v="47"/>
        <n v="49"/>
        <n v="52"/>
        <n v="55"/>
        <n v="56"/>
        <n v="62"/>
        <n v="64"/>
        <n v="68"/>
        <n v="69"/>
        <n v="70"/>
        <n v="71"/>
        <n v="78"/>
        <n v="81"/>
        <n v="83"/>
        <n v="84"/>
        <n v="85"/>
        <n v="86"/>
        <n v="88"/>
        <n v="93"/>
        <n v="94"/>
        <n v="96"/>
        <n v="27"/>
        <n v="31"/>
        <n v="82"/>
        <n v="87"/>
        <n v="26"/>
        <n v="29"/>
        <n v="35"/>
        <n v="36"/>
        <n v="37"/>
        <n v="59"/>
        <n v="61"/>
        <n v="72"/>
        <n v="73"/>
        <n v="74"/>
        <n v="77"/>
        <n v="79"/>
        <n v="80"/>
        <n v="90"/>
        <n v="91"/>
        <n v="3"/>
        <n v="8"/>
        <n v="16"/>
        <n v="75"/>
        <n v="38"/>
        <n v="21"/>
        <n v="2"/>
        <n v="18"/>
        <n v="58"/>
        <n v="95"/>
        <m/>
      </sharedItems>
    </cacheField>
    <cacheField name="שם ענף" numFmtId="0">
      <sharedItems containsBlank="1" count="66">
        <s v="גידולים צמחיים"/>
        <s v="גידול בעלי חיים, ציד ופעילויות נלוות"/>
        <s v="ייצור מוצרי מזון"/>
        <s v="ייצור משקאות"/>
        <s v="ייצור טקסטיל"/>
        <s v="ייצור כימיקלים ומוצריהם"/>
        <s v="ייצור מוצרי גומי ופלסטיק "/>
        <s v="ייצור מוצרים אחרים על בסיס מינרלים אל-מתכתיים"/>
        <s v="ענפי ייצור אחרים"/>
        <s v="תיקון, תחזוקה והתקנה של מכונות וציוד"/>
        <s v="בניית מבנים ובניינים"/>
        <s v="עבודות הנדסה אזרחית "/>
        <s v="עבודות בנייה מיוחדות "/>
        <s v="מסחר סיטוני וקמעוני בכלי רכב מנועיים ובאופנועים ותיקונם"/>
        <s v="מסחר סיטוני, פרט לכלי רכב מנועיים ולאופנועים"/>
        <s v="מכירה קמעונית, פרט לכלי רכב מנועיים ולאופנועים"/>
        <s v="הובלה יבשתית והובלה באמצעות קווי צינורות"/>
        <s v="אחסנה ושירותי עזר לתחבורה"/>
        <s v="שירותי אירוח"/>
        <s v="שירותי מזון ומשקאות "/>
        <s v="תכנות מחשבים, ייעוץ בתחום המחשבים ושירותים נלווים אחרים"/>
        <s v="שירותים פיננסיים, פרט לביטוח ולקרנות פנסיה"/>
        <s v="פעילויות בנדל&quot;ן"/>
        <s v="שירותים משפטיים ושירותי חשבונאות"/>
        <s v="שירותי משרדים ראשיים; שירותי ייעוץ ניהולי"/>
        <s v="שירותי אדריכלות והנדסה; בדיקות טכניות וניתוח נתונים טכניים"/>
        <s v="שירותי תעסוקה"/>
        <s v="שירותי תחזוקה לבניינים ועבודות גינון"/>
        <s v="מינהל מקומי"/>
        <s v="מינהל ציבורי וביטחון; ביטוח לאומי חובה"/>
        <s v="חינוך"/>
        <s v="שירותי בריאות"/>
        <s v="שירותי רווחה וסעד ללא מגורים"/>
        <s v="פעילויות ספורט, בילוי ופנאי"/>
        <s v="פעילויות של ארגוני חברים"/>
        <s v="שירותים אישיים אחרים"/>
        <s v="ייצור ציוד חשמלי"/>
        <s v="ייצור רהיטים"/>
        <s v="שירותי ניהול ותמיכה למשרדים ולעסקים"/>
        <s v="מגורים טיפוליים"/>
        <s v="ייצור מחשבים, מכשור אלקטרוני ואופטי"/>
        <s v="ייצור כלי רכב מנועיים ונגררים "/>
        <s v="אספקת חשמל, גז, קיטור ומיזוג אוויר (קירור)"/>
        <s v="אגירת מים, טיפול ואספקה"/>
        <s v="שירותי ביוב"/>
        <s v="הפקה, פוסט-פרודקשן והפצה של סרטי קולנוע, סרטי וידאו, תכניות טלוויזיה, הקלטה_x000a_ והוצאה לאור של קול ומוזיקה "/>
        <s v="שירותי תקשורת"/>
        <s v="מחקר מדעי ופיתוח"/>
        <s v="פרסום וחקר שווקים"/>
        <s v="סוגים אחרים של שירותים מקצועיים, מדעיים וטכניים"/>
        <s v="שירותי השכרה והחכרה"/>
        <s v="פעילויות של סוכנויות נסיעות, מארגני טיולים, הזמנות ושירותים נלווים"/>
        <s v="שירותי שמירה, אבטחה וחקירה"/>
        <s v="יצירה, אמנות ובידור"/>
        <s v="הפעלת ספריות, ארכיונים, מוזאונים ופעילויות תרבות אחרות"/>
        <s v="דיג וחקלאות מים"/>
        <s v="סוגים אחרים של כרייה וחציבה"/>
        <s v="ייצור מוצרי עץ ומוצרי עץ ושעם, פרט לרהיטים; ייצור מוצרי קש ומוצרים מחומרי קליעה"/>
        <s v="שירותים וטרינריים"/>
        <s v="איסוף, טיפול וסילוק של אשפה ופסולת; מחזור (והשבה) של חומרים"/>
        <s v="ייצור תרופות, כולל תרופות הומאופתיות"/>
        <s v="ייעור וכריתת עצים"/>
        <s v="הדפסה ושכפול של חומר תקשורתי מוקלט"/>
        <s v="הוצאה לאור"/>
        <s v="תיקון של מחשבים, ציוד אישי וציוד לבית"/>
        <m/>
      </sharedItems>
    </cacheField>
    <cacheField name="מספר שכירים" numFmtId="0">
      <sharedItems containsString="0" containsBlank="1" containsNumber="1" containsInteger="1" minValue="10" maxValue="2793"/>
    </cacheField>
    <cacheField name="שכר חודשי ממוצי" numFmtId="165">
      <sharedItems containsString="0" containsBlank="1" containsNumber="1" minValue="2657.7486223518845" maxValue="29103.6769332670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ny Drobot" refreshedDate="45791.475768750002" createdVersion="8" refreshedVersion="8" minRefreshableVersion="3" recordCount="315" xr:uid="{20F6DD48-C178-40B3-8A43-77798383D725}">
  <cacheSource type="worksheet">
    <worksheetSource ref="A1:D316" sheet="רשויות_ענף_כלכלי__סדר_"/>
  </cacheSource>
  <cacheFields count="4">
    <cacheField name="ShemMaamadMuniOMoeza" numFmtId="0">
      <sharedItems count="18">
        <s v="בוקעאתא"/>
        <s v="ג'ש (גוש חלב)"/>
        <s v="גולן"/>
        <s v="הגליל העליון"/>
        <s v="חצור הגלילית"/>
        <s v="טובא-זנגרייה"/>
        <s v="יסוד המעלה"/>
        <s v="מבואות החרמון"/>
        <s v="מג'דל שמס"/>
        <s v="מטולה"/>
        <s v="מסעדה"/>
        <s v="מרום הגליל"/>
        <s v="ע'ג'ר"/>
        <s v="עין קנייא"/>
        <s v="צפת"/>
        <s v="קצרין"/>
        <s v="קריית שמונה"/>
        <s v="ראש פינה"/>
      </sharedItems>
    </cacheField>
    <cacheField name="ענף כלכלי" numFmtId="0">
      <sharedItems count="20">
        <s v="*"/>
        <s v="A"/>
        <s v="C"/>
        <s v="E"/>
        <s v="F"/>
        <s v="G"/>
        <s v="H"/>
        <s v="I"/>
        <s v="J"/>
        <s v="K"/>
        <s v="L"/>
        <s v="M"/>
        <s v="N"/>
        <s v="O"/>
        <s v="P"/>
        <s v="Q"/>
        <s v="R"/>
        <s v="S"/>
        <s v="D"/>
        <s v="B"/>
      </sharedItems>
    </cacheField>
    <cacheField name="מספר שכירים" numFmtId="0">
      <sharedItems containsSemiMixedTypes="0" containsString="0" containsNumber="1" containsInteger="1" minValue="10" maxValue="2793"/>
    </cacheField>
    <cacheField name="שכר חודשי ממוצי" numFmtId="165">
      <sharedItems containsSemiMixedTypes="0" containsString="0" containsNumber="1" minValue="3370.0070693457483" maxValue="31419.7142857142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ny Drobot" refreshedDate="45792.770918055554" createdVersion="8" refreshedVersion="8" minRefreshableVersion="3" recordCount="168" xr:uid="{6F665891-41D6-4CDD-AB4B-419301AB74A2}">
  <cacheSource type="worksheet">
    <worksheetSource ref="A1:E169" sheet="מחוז_ענף_כלכלי__סדר"/>
  </cacheSource>
  <cacheFields count="5">
    <cacheField name="CodMahozs" numFmtId="0">
      <sharedItems count="8">
        <s v="איוש"/>
        <s v="דרום"/>
        <s v="חיפה"/>
        <s v="ירושלים"/>
        <s v="מחוז צפון ללא"/>
        <s v="מרכז"/>
        <s v="נפות צפת וגולן"/>
        <s v="תל אביב"/>
      </sharedItems>
    </cacheField>
    <cacheField name="ענף כלכלי" numFmtId="0">
      <sharedItems/>
    </cacheField>
    <cacheField name="ענף" numFmtId="0">
      <sharedItems containsBlank="1" count="21">
        <m/>
        <s v="חקלאות, ייעור ודיג"/>
        <s v="כרייה וחציבה"/>
        <s v="תעשייה"/>
        <s v="אספקת חשמל, גז, קיטור ומיזוג אוויר"/>
        <s v="אספקת מים; שירותי ביוב, טיפול באשפה ובפסולת ושירותי טיהור"/>
        <s v="בינוי"/>
        <s v="מסחר סיטוני וקמעוני; תיקון כלי רכב מנועיים ואופנועים"/>
        <s v="שירותי תחבורה, אחסנה, דואר ובלדרות"/>
        <s v="שירותי אירוח ואוכל"/>
        <s v="מידע ותקשורת"/>
        <s v="שירותים פיננסיים ושירותי ביטוח"/>
        <s v="פעילויות בנדל&quot;ן"/>
        <s v="שירותים מקצועיים, מדעיים וטכניים"/>
        <s v="שירותי ניהול ותמיכה"/>
        <s v="מינהל מקומי, מינהל ציבורי וביטחון; ביטוח לאומי חובה"/>
        <s v="חינוך"/>
        <s v="שירותי בריאות, רווחה וסעד"/>
        <s v="אמנות, בידור ופנאי"/>
        <s v="שירותים אחרים"/>
        <s v="ארגונים וגופים חוץ-מדינתיים"/>
      </sharedItems>
    </cacheField>
    <cacheField name="מספר שכירים" numFmtId="0">
      <sharedItems containsSemiMixedTypes="0" containsString="0" containsNumber="1" containsInteger="1" minValue="13" maxValue="174437"/>
    </cacheField>
    <cacheField name="שכר חודשי ממוצי" numFmtId="165">
      <sharedItems containsSemiMixedTypes="0" containsString="0" containsNumber="1" minValue="4588.2312120229863" maxValue="36565.0121803621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6">
  <r>
    <x v="0"/>
    <x v="0"/>
    <x v="0"/>
    <n v="263"/>
    <n v="5828.4334386779228"/>
  </r>
  <r>
    <x v="0"/>
    <x v="1"/>
    <x v="1"/>
    <n v="41"/>
    <n v="6468.1012195121939"/>
  </r>
  <r>
    <x v="0"/>
    <x v="2"/>
    <x v="2"/>
    <n v="21"/>
    <n v="10089.295695045694"/>
  </r>
  <r>
    <x v="0"/>
    <x v="3"/>
    <x v="3"/>
    <n v="32"/>
    <n v="12219.861805555554"/>
  </r>
  <r>
    <x v="0"/>
    <x v="4"/>
    <x v="4"/>
    <n v="15"/>
    <n v="6051.9077777777775"/>
  </r>
  <r>
    <x v="0"/>
    <x v="5"/>
    <x v="5"/>
    <n v="30"/>
    <n v="11296.284722222223"/>
  </r>
  <r>
    <x v="0"/>
    <x v="6"/>
    <x v="6"/>
    <n v="23"/>
    <n v="8583.6462889767245"/>
  </r>
  <r>
    <x v="0"/>
    <x v="7"/>
    <x v="7"/>
    <n v="25"/>
    <n v="12565.408333333333"/>
  </r>
  <r>
    <x v="0"/>
    <x v="8"/>
    <x v="8"/>
    <n v="21"/>
    <n v="9686.6690802583671"/>
  </r>
  <r>
    <x v="0"/>
    <x v="9"/>
    <x v="9"/>
    <n v="13"/>
    <n v="4182.6471611721608"/>
  </r>
  <r>
    <x v="0"/>
    <x v="10"/>
    <x v="10"/>
    <n v="225"/>
    <n v="7612.2048972262282"/>
  </r>
  <r>
    <x v="0"/>
    <x v="11"/>
    <x v="11"/>
    <n v="260"/>
    <n v="8543.1291428016411"/>
  </r>
  <r>
    <x v="0"/>
    <x v="12"/>
    <x v="12"/>
    <n v="124"/>
    <n v="6924.5628991528192"/>
  </r>
  <r>
    <x v="0"/>
    <x v="13"/>
    <x v="13"/>
    <n v="31"/>
    <n v="7414.9551075268819"/>
  </r>
  <r>
    <x v="0"/>
    <x v="14"/>
    <x v="14"/>
    <n v="60"/>
    <n v="7235.7006679894166"/>
  </r>
  <r>
    <x v="0"/>
    <x v="15"/>
    <x v="15"/>
    <n v="213"/>
    <n v="5013.9065148466543"/>
  </r>
  <r>
    <x v="0"/>
    <x v="16"/>
    <x v="16"/>
    <n v="75"/>
    <n v="6523.1304011544016"/>
  </r>
  <r>
    <x v="0"/>
    <x v="17"/>
    <x v="17"/>
    <n v="16"/>
    <n v="6877.3132891414134"/>
  </r>
  <r>
    <x v="0"/>
    <x v="18"/>
    <x v="18"/>
    <n v="201"/>
    <n v="5684.6667980444108"/>
  </r>
  <r>
    <x v="0"/>
    <x v="19"/>
    <x v="19"/>
    <n v="43"/>
    <n v="4390.377923755831"/>
  </r>
  <r>
    <x v="0"/>
    <x v="20"/>
    <x v="20"/>
    <n v="28"/>
    <n v="14349.074702380949"/>
  </r>
  <r>
    <x v="0"/>
    <x v="21"/>
    <x v="21"/>
    <n v="16"/>
    <n v="9562.96875"/>
  </r>
  <r>
    <x v="0"/>
    <x v="22"/>
    <x v="22"/>
    <n v="22"/>
    <n v="9488.7939393939396"/>
  </r>
  <r>
    <x v="0"/>
    <x v="23"/>
    <x v="23"/>
    <n v="12"/>
    <n v="6434.208333333333"/>
  </r>
  <r>
    <x v="0"/>
    <x v="24"/>
    <x v="24"/>
    <n v="58"/>
    <n v="5129.5935394586249"/>
  </r>
  <r>
    <x v="0"/>
    <x v="25"/>
    <x v="25"/>
    <n v="84"/>
    <n v="6926.0661792242126"/>
  </r>
  <r>
    <x v="0"/>
    <x v="26"/>
    <x v="26"/>
    <n v="106"/>
    <n v="3312.5112880829861"/>
  </r>
  <r>
    <x v="0"/>
    <x v="27"/>
    <x v="27"/>
    <n v="57"/>
    <n v="5264.2569067871682"/>
  </r>
  <r>
    <x v="0"/>
    <x v="28"/>
    <x v="28"/>
    <n v="118"/>
    <n v="8993.7044879790665"/>
  </r>
  <r>
    <x v="0"/>
    <x v="29"/>
    <x v="29"/>
    <n v="28"/>
    <n v="22779.709251958364"/>
  </r>
  <r>
    <x v="0"/>
    <x v="30"/>
    <x v="30"/>
    <n v="235"/>
    <n v="13280.966762303899"/>
  </r>
  <r>
    <x v="0"/>
    <x v="31"/>
    <x v="31"/>
    <n v="116"/>
    <n v="13873.475640020901"/>
  </r>
  <r>
    <x v="0"/>
    <x v="32"/>
    <x v="32"/>
    <n v="188"/>
    <n v="3065.7107085290586"/>
  </r>
  <r>
    <x v="0"/>
    <x v="33"/>
    <x v="33"/>
    <n v="33"/>
    <n v="4409.8705780751243"/>
  </r>
  <r>
    <x v="0"/>
    <x v="34"/>
    <x v="34"/>
    <n v="30"/>
    <n v="5198.2445057720061"/>
  </r>
  <r>
    <x v="0"/>
    <x v="35"/>
    <x v="35"/>
    <n v="25"/>
    <n v="4612.0553174603183"/>
  </r>
  <r>
    <x v="1"/>
    <x v="0"/>
    <x v="0"/>
    <n v="95"/>
    <n v="8814.3470179235974"/>
  </r>
  <r>
    <x v="1"/>
    <x v="2"/>
    <x v="2"/>
    <n v="52"/>
    <n v="10013.378379953381"/>
  </r>
  <r>
    <x v="1"/>
    <x v="5"/>
    <x v="5"/>
    <n v="24"/>
    <n v="9418.228472222223"/>
  </r>
  <r>
    <x v="1"/>
    <x v="6"/>
    <x v="6"/>
    <n v="17"/>
    <n v="11168.906149732622"/>
  </r>
  <r>
    <x v="1"/>
    <x v="7"/>
    <x v="7"/>
    <n v="29"/>
    <n v="14047.508210180622"/>
  </r>
  <r>
    <x v="1"/>
    <x v="36"/>
    <x v="36"/>
    <n v="29"/>
    <n v="9360.0385754092658"/>
  </r>
  <r>
    <x v="1"/>
    <x v="37"/>
    <x v="37"/>
    <n v="16"/>
    <n v="7420.7788036616166"/>
  </r>
  <r>
    <x v="1"/>
    <x v="8"/>
    <x v="8"/>
    <n v="96"/>
    <n v="9992.3651676737572"/>
  </r>
  <r>
    <x v="1"/>
    <x v="10"/>
    <x v="10"/>
    <n v="31"/>
    <n v="7722.5493855606765"/>
  </r>
  <r>
    <x v="1"/>
    <x v="11"/>
    <x v="11"/>
    <n v="20"/>
    <n v="14438.492361111112"/>
  </r>
  <r>
    <x v="1"/>
    <x v="12"/>
    <x v="12"/>
    <n v="50"/>
    <n v="7727.0517792207802"/>
  </r>
  <r>
    <x v="1"/>
    <x v="13"/>
    <x v="13"/>
    <n v="24"/>
    <n v="8593.7502840909092"/>
  </r>
  <r>
    <x v="1"/>
    <x v="14"/>
    <x v="14"/>
    <n v="25"/>
    <n v="10458.84603174603"/>
  </r>
  <r>
    <x v="1"/>
    <x v="15"/>
    <x v="15"/>
    <n v="116"/>
    <n v="8981.9923200602025"/>
  </r>
  <r>
    <x v="1"/>
    <x v="16"/>
    <x v="16"/>
    <n v="32"/>
    <n v="11753.07072172619"/>
  </r>
  <r>
    <x v="1"/>
    <x v="18"/>
    <x v="18"/>
    <n v="38"/>
    <n v="7724.6200862003489"/>
  </r>
  <r>
    <x v="1"/>
    <x v="19"/>
    <x v="19"/>
    <n v="77"/>
    <n v="5724.2262532561208"/>
  </r>
  <r>
    <x v="1"/>
    <x v="20"/>
    <x v="20"/>
    <n v="28"/>
    <n v="26978.690592145955"/>
  </r>
  <r>
    <x v="1"/>
    <x v="21"/>
    <x v="21"/>
    <n v="24"/>
    <n v="12804.95567279942"/>
  </r>
  <r>
    <x v="1"/>
    <x v="23"/>
    <x v="23"/>
    <n v="48"/>
    <n v="9796.4422371031742"/>
  </r>
  <r>
    <x v="1"/>
    <x v="25"/>
    <x v="25"/>
    <n v="29"/>
    <n v="10478.639272030652"/>
  </r>
  <r>
    <x v="1"/>
    <x v="26"/>
    <x v="26"/>
    <n v="30"/>
    <n v="5292.0253571428584"/>
  </r>
  <r>
    <x v="1"/>
    <x v="27"/>
    <x v="27"/>
    <n v="23"/>
    <n v="8016.496963423052"/>
  </r>
  <r>
    <x v="1"/>
    <x v="38"/>
    <x v="38"/>
    <n v="35"/>
    <n v="7235.1382282003715"/>
  </r>
  <r>
    <x v="1"/>
    <x v="28"/>
    <x v="28"/>
    <n v="77"/>
    <n v="11109.131148685366"/>
  </r>
  <r>
    <x v="1"/>
    <x v="29"/>
    <x v="29"/>
    <n v="89"/>
    <n v="19219.716117839715"/>
  </r>
  <r>
    <x v="1"/>
    <x v="30"/>
    <x v="30"/>
    <n v="126"/>
    <n v="14027.574349790419"/>
  </r>
  <r>
    <x v="1"/>
    <x v="31"/>
    <x v="31"/>
    <n v="84"/>
    <n v="15392.531676887927"/>
  </r>
  <r>
    <x v="1"/>
    <x v="39"/>
    <x v="39"/>
    <n v="14"/>
    <n v="9601.2898809523795"/>
  </r>
  <r>
    <x v="1"/>
    <x v="32"/>
    <x v="32"/>
    <n v="78"/>
    <n v="4693.0958892958897"/>
  </r>
  <r>
    <x v="1"/>
    <x v="33"/>
    <x v="33"/>
    <n v="15"/>
    <n v="5425.9435569985571"/>
  </r>
  <r>
    <x v="1"/>
    <x v="34"/>
    <x v="34"/>
    <n v="32"/>
    <n v="11157.447916666668"/>
  </r>
  <r>
    <x v="2"/>
    <x v="0"/>
    <x v="0"/>
    <n v="1142"/>
    <n v="7674.4160422400137"/>
  </r>
  <r>
    <x v="2"/>
    <x v="1"/>
    <x v="1"/>
    <n v="185"/>
    <n v="8792.7488806988749"/>
  </r>
  <r>
    <x v="2"/>
    <x v="2"/>
    <x v="2"/>
    <n v="154"/>
    <n v="12118.038842740954"/>
  </r>
  <r>
    <x v="2"/>
    <x v="3"/>
    <x v="3"/>
    <n v="158"/>
    <n v="8599.1202485980975"/>
  </r>
  <r>
    <x v="2"/>
    <x v="4"/>
    <x v="4"/>
    <n v="13"/>
    <n v="12663.374236874235"/>
  </r>
  <r>
    <x v="2"/>
    <x v="5"/>
    <x v="5"/>
    <n v="43"/>
    <n v="14057.96423537703"/>
  </r>
  <r>
    <x v="2"/>
    <x v="6"/>
    <x v="6"/>
    <n v="61"/>
    <n v="20150.189298724956"/>
  </r>
  <r>
    <x v="2"/>
    <x v="7"/>
    <x v="7"/>
    <n v="36"/>
    <n v="12765.025432900433"/>
  </r>
  <r>
    <x v="2"/>
    <x v="40"/>
    <x v="40"/>
    <n v="63"/>
    <n v="21658.038775510195"/>
  </r>
  <r>
    <x v="2"/>
    <x v="36"/>
    <x v="36"/>
    <n v="167"/>
    <n v="15561.992754534222"/>
  </r>
  <r>
    <x v="2"/>
    <x v="41"/>
    <x v="41"/>
    <n v="36"/>
    <n v="23017.597222222223"/>
  </r>
  <r>
    <x v="2"/>
    <x v="37"/>
    <x v="37"/>
    <n v="11"/>
    <n v="10478.789393939396"/>
  </r>
  <r>
    <x v="2"/>
    <x v="8"/>
    <x v="8"/>
    <n v="46"/>
    <n v="15723.632630654367"/>
  </r>
  <r>
    <x v="2"/>
    <x v="9"/>
    <x v="9"/>
    <n v="17"/>
    <n v="19096.02874331551"/>
  </r>
  <r>
    <x v="2"/>
    <x v="42"/>
    <x v="42"/>
    <n v="16"/>
    <n v="15563.890625000002"/>
  </r>
  <r>
    <x v="2"/>
    <x v="43"/>
    <x v="43"/>
    <n v="31"/>
    <n v="21189.402899967416"/>
  </r>
  <r>
    <x v="2"/>
    <x v="44"/>
    <x v="44"/>
    <n v="24"/>
    <n v="15866.04892676768"/>
  </r>
  <r>
    <x v="2"/>
    <x v="10"/>
    <x v="10"/>
    <n v="82"/>
    <n v="14544.230802361601"/>
  </r>
  <r>
    <x v="2"/>
    <x v="11"/>
    <x v="11"/>
    <n v="42"/>
    <n v="16442.382176355393"/>
  </r>
  <r>
    <x v="2"/>
    <x v="12"/>
    <x v="12"/>
    <n v="112"/>
    <n v="11061.827969426407"/>
  </r>
  <r>
    <x v="2"/>
    <x v="13"/>
    <x v="13"/>
    <n v="55"/>
    <n v="14267.864011544012"/>
  </r>
  <r>
    <x v="2"/>
    <x v="14"/>
    <x v="14"/>
    <n v="202"/>
    <n v="15612.566539689684"/>
  </r>
  <r>
    <x v="2"/>
    <x v="15"/>
    <x v="15"/>
    <n v="270"/>
    <n v="7655.8749337288236"/>
  </r>
  <r>
    <x v="2"/>
    <x v="16"/>
    <x v="16"/>
    <n v="49"/>
    <n v="12739.053385163588"/>
  </r>
  <r>
    <x v="2"/>
    <x v="17"/>
    <x v="17"/>
    <n v="38"/>
    <n v="15226.982860560494"/>
  </r>
  <r>
    <x v="2"/>
    <x v="18"/>
    <x v="18"/>
    <n v="372"/>
    <n v="7119.1273669878528"/>
  </r>
  <r>
    <x v="2"/>
    <x v="19"/>
    <x v="19"/>
    <n v="419"/>
    <n v="4901.8668473001417"/>
  </r>
  <r>
    <x v="2"/>
    <x v="45"/>
    <x v="45"/>
    <n v="27"/>
    <n v="25307.519753086424"/>
  </r>
  <r>
    <x v="2"/>
    <x v="46"/>
    <x v="46"/>
    <n v="16"/>
    <n v="13269.558806818182"/>
  </r>
  <r>
    <x v="2"/>
    <x v="20"/>
    <x v="20"/>
    <n v="282"/>
    <n v="21812.980410232001"/>
  </r>
  <r>
    <x v="2"/>
    <x v="21"/>
    <x v="21"/>
    <n v="104"/>
    <n v="15832.498224345092"/>
  </r>
  <r>
    <x v="2"/>
    <x v="22"/>
    <x v="22"/>
    <n v="38"/>
    <n v="13172.282414369256"/>
  </r>
  <r>
    <x v="2"/>
    <x v="23"/>
    <x v="23"/>
    <n v="74"/>
    <n v="11520.152292227291"/>
  </r>
  <r>
    <x v="2"/>
    <x v="24"/>
    <x v="24"/>
    <n v="154"/>
    <n v="15483.074345730021"/>
  </r>
  <r>
    <x v="2"/>
    <x v="25"/>
    <x v="25"/>
    <n v="141"/>
    <n v="14385.84051456817"/>
  </r>
  <r>
    <x v="2"/>
    <x v="47"/>
    <x v="47"/>
    <n v="147"/>
    <n v="19771.042972484804"/>
  </r>
  <r>
    <x v="2"/>
    <x v="48"/>
    <x v="48"/>
    <n v="41"/>
    <n v="10725.718834688347"/>
  </r>
  <r>
    <x v="2"/>
    <x v="49"/>
    <x v="49"/>
    <n v="56"/>
    <n v="12486.766175788498"/>
  </r>
  <r>
    <x v="2"/>
    <x v="50"/>
    <x v="50"/>
    <n v="20"/>
    <n v="7329.4817063492064"/>
  </r>
  <r>
    <x v="2"/>
    <x v="26"/>
    <x v="26"/>
    <n v="36"/>
    <n v="8881.1290764790738"/>
  </r>
  <r>
    <x v="2"/>
    <x v="51"/>
    <x v="51"/>
    <n v="80"/>
    <n v="10213.559499007937"/>
  </r>
  <r>
    <x v="2"/>
    <x v="52"/>
    <x v="52"/>
    <n v="69"/>
    <n v="9472.4909399376829"/>
  </r>
  <r>
    <x v="2"/>
    <x v="27"/>
    <x v="27"/>
    <n v="92"/>
    <n v="7174.8136269527595"/>
  </r>
  <r>
    <x v="2"/>
    <x v="38"/>
    <x v="38"/>
    <n v="40"/>
    <n v="11540.971435786434"/>
  </r>
  <r>
    <x v="2"/>
    <x v="28"/>
    <x v="28"/>
    <n v="658"/>
    <n v="7801.0924193081519"/>
  </r>
  <r>
    <x v="2"/>
    <x v="29"/>
    <x v="29"/>
    <n v="156"/>
    <n v="17609.959118890361"/>
  </r>
  <r>
    <x v="2"/>
    <x v="30"/>
    <x v="30"/>
    <n v="1609"/>
    <n v="12011.99764978649"/>
  </r>
  <r>
    <x v="2"/>
    <x v="31"/>
    <x v="31"/>
    <n v="230"/>
    <n v="12616.296648472307"/>
  </r>
  <r>
    <x v="2"/>
    <x v="39"/>
    <x v="39"/>
    <n v="61"/>
    <n v="7876.8736119982004"/>
  </r>
  <r>
    <x v="2"/>
    <x v="32"/>
    <x v="32"/>
    <n v="225"/>
    <n v="4855.3109695366375"/>
  </r>
  <r>
    <x v="2"/>
    <x v="53"/>
    <x v="53"/>
    <n v="42"/>
    <n v="5658.8853440871299"/>
  </r>
  <r>
    <x v="2"/>
    <x v="54"/>
    <x v="54"/>
    <n v="78"/>
    <n v="11477.660811410817"/>
  </r>
  <r>
    <x v="2"/>
    <x v="33"/>
    <x v="33"/>
    <n v="195"/>
    <n v="6342.3411686461677"/>
  </r>
  <r>
    <x v="2"/>
    <x v="34"/>
    <x v="34"/>
    <n v="334"/>
    <n v="6850.1002707787866"/>
  </r>
  <r>
    <x v="2"/>
    <x v="35"/>
    <x v="35"/>
    <n v="36"/>
    <n v="7982.1522196168034"/>
  </r>
  <r>
    <x v="3"/>
    <x v="0"/>
    <x v="0"/>
    <n v="1064"/>
    <n v="8179.1692098549911"/>
  </r>
  <r>
    <x v="3"/>
    <x v="55"/>
    <x v="55"/>
    <n v="31"/>
    <n v="12255.209580831355"/>
  </r>
  <r>
    <x v="3"/>
    <x v="1"/>
    <x v="1"/>
    <n v="34"/>
    <n v="11384.803898225959"/>
  </r>
  <r>
    <x v="3"/>
    <x v="56"/>
    <x v="56"/>
    <n v="41"/>
    <n v="17667.388211382116"/>
  </r>
  <r>
    <x v="3"/>
    <x v="2"/>
    <x v="2"/>
    <n v="121"/>
    <n v="12687.687112267889"/>
  </r>
  <r>
    <x v="3"/>
    <x v="3"/>
    <x v="3"/>
    <n v="69"/>
    <n v="11943.024430118996"/>
  </r>
  <r>
    <x v="3"/>
    <x v="4"/>
    <x v="4"/>
    <n v="71"/>
    <n v="16800.993982074266"/>
  </r>
  <r>
    <x v="3"/>
    <x v="57"/>
    <x v="57"/>
    <n v="27"/>
    <n v="18433.930209502429"/>
  </r>
  <r>
    <x v="3"/>
    <x v="5"/>
    <x v="5"/>
    <n v="51"/>
    <n v="18859.33489304813"/>
  </r>
  <r>
    <x v="3"/>
    <x v="6"/>
    <x v="6"/>
    <n v="152"/>
    <n v="17757.607604000532"/>
  </r>
  <r>
    <x v="3"/>
    <x v="7"/>
    <x v="7"/>
    <n v="51"/>
    <n v="16110.33157626687"/>
  </r>
  <r>
    <x v="3"/>
    <x v="40"/>
    <x v="40"/>
    <n v="154"/>
    <n v="22247.682337521783"/>
  </r>
  <r>
    <x v="3"/>
    <x v="36"/>
    <x v="36"/>
    <n v="164"/>
    <n v="18085.993643754624"/>
  </r>
  <r>
    <x v="3"/>
    <x v="41"/>
    <x v="41"/>
    <n v="63"/>
    <n v="19526.971247051009"/>
  </r>
  <r>
    <x v="3"/>
    <x v="37"/>
    <x v="37"/>
    <n v="11"/>
    <n v="7350.5939393939398"/>
  </r>
  <r>
    <x v="3"/>
    <x v="8"/>
    <x v="8"/>
    <n v="178"/>
    <n v="19908.305949543595"/>
  </r>
  <r>
    <x v="3"/>
    <x v="9"/>
    <x v="9"/>
    <n v="13"/>
    <n v="13451.746336996339"/>
  </r>
  <r>
    <x v="3"/>
    <x v="43"/>
    <x v="43"/>
    <n v="25"/>
    <n v="25031.574476190479"/>
  </r>
  <r>
    <x v="3"/>
    <x v="44"/>
    <x v="44"/>
    <n v="13"/>
    <n v="17960.160256410258"/>
  </r>
  <r>
    <x v="3"/>
    <x v="10"/>
    <x v="10"/>
    <n v="46"/>
    <n v="11186.186313445009"/>
  </r>
  <r>
    <x v="3"/>
    <x v="11"/>
    <x v="11"/>
    <n v="25"/>
    <n v="16578.633217893213"/>
  </r>
  <r>
    <x v="3"/>
    <x v="12"/>
    <x v="12"/>
    <n v="102"/>
    <n v="11779.710125413798"/>
  </r>
  <r>
    <x v="3"/>
    <x v="13"/>
    <x v="13"/>
    <n v="64"/>
    <n v="12327.687565949673"/>
  </r>
  <r>
    <x v="3"/>
    <x v="14"/>
    <x v="14"/>
    <n v="204"/>
    <n v="16089.856139299156"/>
  </r>
  <r>
    <x v="3"/>
    <x v="15"/>
    <x v="15"/>
    <n v="279"/>
    <n v="7558.1707065535047"/>
  </r>
  <r>
    <x v="3"/>
    <x v="16"/>
    <x v="16"/>
    <n v="66"/>
    <n v="14381.283582032444"/>
  </r>
  <r>
    <x v="3"/>
    <x v="17"/>
    <x v="17"/>
    <n v="29"/>
    <n v="18521.845977011493"/>
  </r>
  <r>
    <x v="3"/>
    <x v="18"/>
    <x v="18"/>
    <n v="247"/>
    <n v="8038.2014035671973"/>
  </r>
  <r>
    <x v="3"/>
    <x v="19"/>
    <x v="19"/>
    <n v="605"/>
    <n v="5337.76886682647"/>
  </r>
  <r>
    <x v="3"/>
    <x v="45"/>
    <x v="45"/>
    <n v="10"/>
    <n v="14251.125000000004"/>
  </r>
  <r>
    <x v="3"/>
    <x v="46"/>
    <x v="46"/>
    <n v="21"/>
    <n v="13282.894444444444"/>
  </r>
  <r>
    <x v="3"/>
    <x v="20"/>
    <x v="20"/>
    <n v="331"/>
    <n v="23819.190096149217"/>
  </r>
  <r>
    <x v="3"/>
    <x v="21"/>
    <x v="21"/>
    <n v="119"/>
    <n v="18382.499594383215"/>
  </r>
  <r>
    <x v="3"/>
    <x v="22"/>
    <x v="22"/>
    <n v="27"/>
    <n v="18965.567012719788"/>
  </r>
  <r>
    <x v="3"/>
    <x v="23"/>
    <x v="23"/>
    <n v="79"/>
    <n v="12080.682867554384"/>
  </r>
  <r>
    <x v="3"/>
    <x v="24"/>
    <x v="24"/>
    <n v="371"/>
    <n v="9212.6193295099583"/>
  </r>
  <r>
    <x v="3"/>
    <x v="25"/>
    <x v="25"/>
    <n v="135"/>
    <n v="13497.634486932817"/>
  </r>
  <r>
    <x v="3"/>
    <x v="47"/>
    <x v="47"/>
    <n v="189"/>
    <n v="20114.493726570319"/>
  </r>
  <r>
    <x v="3"/>
    <x v="48"/>
    <x v="48"/>
    <n v="51"/>
    <n v="12188.939028944909"/>
  </r>
  <r>
    <x v="3"/>
    <x v="49"/>
    <x v="49"/>
    <n v="31"/>
    <n v="10986.301564027372"/>
  </r>
  <r>
    <x v="3"/>
    <x v="58"/>
    <x v="58"/>
    <n v="27"/>
    <n v="9751.1466329966333"/>
  </r>
  <r>
    <x v="3"/>
    <x v="50"/>
    <x v="50"/>
    <n v="24"/>
    <n v="7703.1927083333348"/>
  </r>
  <r>
    <x v="3"/>
    <x v="26"/>
    <x v="26"/>
    <n v="40"/>
    <n v="7079.9465782828293"/>
  </r>
  <r>
    <x v="3"/>
    <x v="51"/>
    <x v="51"/>
    <n v="65"/>
    <n v="7279.0240404040387"/>
  </r>
  <r>
    <x v="3"/>
    <x v="52"/>
    <x v="52"/>
    <n v="44"/>
    <n v="9442.9351231470537"/>
  </r>
  <r>
    <x v="3"/>
    <x v="27"/>
    <x v="27"/>
    <n v="53"/>
    <n v="7658.800857632933"/>
  </r>
  <r>
    <x v="3"/>
    <x v="38"/>
    <x v="38"/>
    <n v="30"/>
    <n v="9259.0509175084171"/>
  </r>
  <r>
    <x v="3"/>
    <x v="28"/>
    <x v="28"/>
    <n v="342"/>
    <n v="11137.641827422089"/>
  </r>
  <r>
    <x v="3"/>
    <x v="29"/>
    <x v="29"/>
    <n v="170"/>
    <n v="18364.297297343175"/>
  </r>
  <r>
    <x v="3"/>
    <x v="30"/>
    <x v="30"/>
    <n v="1217"/>
    <n v="11494.037124206014"/>
  </r>
  <r>
    <x v="3"/>
    <x v="31"/>
    <x v="31"/>
    <n v="254"/>
    <n v="12564.910805609521"/>
  </r>
  <r>
    <x v="3"/>
    <x v="39"/>
    <x v="39"/>
    <n v="54"/>
    <n v="10166.553942199773"/>
  </r>
  <r>
    <x v="3"/>
    <x v="32"/>
    <x v="32"/>
    <n v="276"/>
    <n v="5001.6433299088167"/>
  </r>
  <r>
    <x v="3"/>
    <x v="53"/>
    <x v="53"/>
    <n v="26"/>
    <n v="8090.0839063714066"/>
  </r>
  <r>
    <x v="3"/>
    <x v="54"/>
    <x v="54"/>
    <n v="57"/>
    <n v="10747.905990354671"/>
  </r>
  <r>
    <x v="3"/>
    <x v="33"/>
    <x v="33"/>
    <n v="232"/>
    <n v="6830.757204588992"/>
  </r>
  <r>
    <x v="3"/>
    <x v="34"/>
    <x v="34"/>
    <n v="243"/>
    <n v="8799.423790224404"/>
  </r>
  <r>
    <x v="3"/>
    <x v="35"/>
    <x v="35"/>
    <n v="29"/>
    <n v="5534.5994252873561"/>
  </r>
  <r>
    <x v="4"/>
    <x v="0"/>
    <x v="0"/>
    <n v="78"/>
    <n v="6435.5791763791767"/>
  </r>
  <r>
    <x v="4"/>
    <x v="1"/>
    <x v="1"/>
    <n v="13"/>
    <n v="10492.567288267288"/>
  </r>
  <r>
    <x v="4"/>
    <x v="2"/>
    <x v="2"/>
    <n v="143"/>
    <n v="9382.5082937264742"/>
  </r>
  <r>
    <x v="4"/>
    <x v="3"/>
    <x v="3"/>
    <n v="44"/>
    <n v="10794.002703168042"/>
  </r>
  <r>
    <x v="4"/>
    <x v="4"/>
    <x v="4"/>
    <n v="19"/>
    <n v="7683.2715311004795"/>
  </r>
  <r>
    <x v="4"/>
    <x v="57"/>
    <x v="57"/>
    <n v="47"/>
    <n v="12766.14717386632"/>
  </r>
  <r>
    <x v="4"/>
    <x v="5"/>
    <x v="5"/>
    <n v="11"/>
    <n v="12767.368686868687"/>
  </r>
  <r>
    <x v="4"/>
    <x v="6"/>
    <x v="6"/>
    <n v="63"/>
    <n v="10981.197891614556"/>
  </r>
  <r>
    <x v="4"/>
    <x v="7"/>
    <x v="7"/>
    <n v="100"/>
    <n v="11678.435928571424"/>
  </r>
  <r>
    <x v="4"/>
    <x v="40"/>
    <x v="40"/>
    <n v="52"/>
    <n v="12108.015546953045"/>
  </r>
  <r>
    <x v="4"/>
    <x v="36"/>
    <x v="36"/>
    <n v="91"/>
    <n v="11560.479247339959"/>
  </r>
  <r>
    <x v="4"/>
    <x v="41"/>
    <x v="41"/>
    <n v="13"/>
    <n v="14035.43611111111"/>
  </r>
  <r>
    <x v="4"/>
    <x v="37"/>
    <x v="37"/>
    <n v="23"/>
    <n v="10749.273276240669"/>
  </r>
  <r>
    <x v="4"/>
    <x v="8"/>
    <x v="8"/>
    <n v="21"/>
    <n v="13777.064935064938"/>
  </r>
  <r>
    <x v="4"/>
    <x v="42"/>
    <x v="42"/>
    <n v="15"/>
    <n v="27614.116666666665"/>
  </r>
  <r>
    <x v="4"/>
    <x v="43"/>
    <x v="43"/>
    <n v="17"/>
    <n v="18167.916666666661"/>
  </r>
  <r>
    <x v="4"/>
    <x v="59"/>
    <x v="59"/>
    <n v="48"/>
    <n v="8353.9221057299183"/>
  </r>
  <r>
    <x v="4"/>
    <x v="10"/>
    <x v="10"/>
    <n v="56"/>
    <n v="10447.460999020821"/>
  </r>
  <r>
    <x v="4"/>
    <x v="11"/>
    <x v="11"/>
    <n v="11"/>
    <n v="13037.418181818182"/>
  </r>
  <r>
    <x v="4"/>
    <x v="12"/>
    <x v="12"/>
    <n v="81"/>
    <n v="9721.6522108207264"/>
  </r>
  <r>
    <x v="4"/>
    <x v="13"/>
    <x v="13"/>
    <n v="62"/>
    <n v="9846.5797979797971"/>
  </r>
  <r>
    <x v="4"/>
    <x v="14"/>
    <x v="14"/>
    <n v="153"/>
    <n v="8846.2149734978138"/>
  </r>
  <r>
    <x v="4"/>
    <x v="15"/>
    <x v="15"/>
    <n v="466"/>
    <n v="6774.0204853563218"/>
  </r>
  <r>
    <x v="4"/>
    <x v="16"/>
    <x v="16"/>
    <n v="107"/>
    <n v="8685.9320444093828"/>
  </r>
  <r>
    <x v="4"/>
    <x v="17"/>
    <x v="17"/>
    <n v="43"/>
    <n v="11433.312015503876"/>
  </r>
  <r>
    <x v="4"/>
    <x v="18"/>
    <x v="18"/>
    <n v="87"/>
    <n v="8501.4658377701453"/>
  </r>
  <r>
    <x v="4"/>
    <x v="19"/>
    <x v="19"/>
    <n v="303"/>
    <n v="4629.9934383914579"/>
  </r>
  <r>
    <x v="4"/>
    <x v="46"/>
    <x v="46"/>
    <n v="19"/>
    <n v="11858.519138755981"/>
  </r>
  <r>
    <x v="4"/>
    <x v="20"/>
    <x v="20"/>
    <n v="57"/>
    <n v="18887.210392774869"/>
  </r>
  <r>
    <x v="4"/>
    <x v="21"/>
    <x v="21"/>
    <n v="73"/>
    <n v="17107.334610784954"/>
  </r>
  <r>
    <x v="4"/>
    <x v="22"/>
    <x v="22"/>
    <n v="37"/>
    <n v="12592.009491634491"/>
  </r>
  <r>
    <x v="4"/>
    <x v="23"/>
    <x v="23"/>
    <n v="56"/>
    <n v="8216.9267090548346"/>
  </r>
  <r>
    <x v="4"/>
    <x v="24"/>
    <x v="24"/>
    <n v="30"/>
    <n v="9814.4456613756593"/>
  </r>
  <r>
    <x v="4"/>
    <x v="25"/>
    <x v="25"/>
    <n v="30"/>
    <n v="11846.449444444446"/>
  </r>
  <r>
    <x v="4"/>
    <x v="47"/>
    <x v="47"/>
    <n v="18"/>
    <n v="15446.153924162258"/>
  </r>
  <r>
    <x v="4"/>
    <x v="48"/>
    <x v="48"/>
    <n v="73"/>
    <n v="3834.7338863191608"/>
  </r>
  <r>
    <x v="4"/>
    <x v="50"/>
    <x v="50"/>
    <n v="12"/>
    <n v="12237.505555555557"/>
  </r>
  <r>
    <x v="4"/>
    <x v="26"/>
    <x v="26"/>
    <n v="32"/>
    <n v="5251.6350378787874"/>
  </r>
  <r>
    <x v="4"/>
    <x v="52"/>
    <x v="52"/>
    <n v="46"/>
    <n v="7714.4794199761591"/>
  </r>
  <r>
    <x v="4"/>
    <x v="27"/>
    <x v="27"/>
    <n v="75"/>
    <n v="5638.4117647907651"/>
  </r>
  <r>
    <x v="4"/>
    <x v="38"/>
    <x v="38"/>
    <n v="147"/>
    <n v="6416.5530430642657"/>
  </r>
  <r>
    <x v="4"/>
    <x v="28"/>
    <x v="28"/>
    <n v="325"/>
    <n v="6869.8667409257405"/>
  </r>
  <r>
    <x v="4"/>
    <x v="29"/>
    <x v="29"/>
    <n v="105"/>
    <n v="16452.695183123753"/>
  </r>
  <r>
    <x v="4"/>
    <x v="30"/>
    <x v="30"/>
    <n v="645"/>
    <n v="9111.6216693513197"/>
  </r>
  <r>
    <x v="4"/>
    <x v="31"/>
    <x v="31"/>
    <n v="102"/>
    <n v="11175.704327589619"/>
  </r>
  <r>
    <x v="4"/>
    <x v="39"/>
    <x v="39"/>
    <n v="12"/>
    <n v="6909.270833333333"/>
  </r>
  <r>
    <x v="4"/>
    <x v="32"/>
    <x v="32"/>
    <n v="358"/>
    <n v="3968.0635503075437"/>
  </r>
  <r>
    <x v="4"/>
    <x v="53"/>
    <x v="53"/>
    <n v="49"/>
    <n v="2939.2268133227312"/>
  </r>
  <r>
    <x v="4"/>
    <x v="33"/>
    <x v="33"/>
    <n v="69"/>
    <n v="6414.3123643264953"/>
  </r>
  <r>
    <x v="4"/>
    <x v="34"/>
    <x v="34"/>
    <n v="173"/>
    <n v="5238.160867761012"/>
  </r>
  <r>
    <x v="4"/>
    <x v="35"/>
    <x v="35"/>
    <n v="18"/>
    <n v="7136.1984988776649"/>
  </r>
  <r>
    <x v="5"/>
    <x v="0"/>
    <x v="0"/>
    <n v="247"/>
    <n v="7361.7751177185382"/>
  </r>
  <r>
    <x v="5"/>
    <x v="1"/>
    <x v="1"/>
    <n v="14"/>
    <n v="7012.3099876314163"/>
  </r>
  <r>
    <x v="5"/>
    <x v="2"/>
    <x v="2"/>
    <n v="168"/>
    <n v="9475.0483796296303"/>
  </r>
  <r>
    <x v="5"/>
    <x v="3"/>
    <x v="3"/>
    <n v="22"/>
    <n v="11536.70087563951"/>
  </r>
  <r>
    <x v="5"/>
    <x v="4"/>
    <x v="4"/>
    <n v="16"/>
    <n v="9095.265625"/>
  </r>
  <r>
    <x v="5"/>
    <x v="57"/>
    <x v="57"/>
    <n v="33"/>
    <n v="10323.443771043771"/>
  </r>
  <r>
    <x v="5"/>
    <x v="5"/>
    <x v="5"/>
    <n v="27"/>
    <n v="8551.3373256373252"/>
  </r>
  <r>
    <x v="5"/>
    <x v="60"/>
    <x v="60"/>
    <n v="38"/>
    <n v="6665.1074675324689"/>
  </r>
  <r>
    <x v="5"/>
    <x v="6"/>
    <x v="6"/>
    <n v="60"/>
    <n v="10942.543159571906"/>
  </r>
  <r>
    <x v="5"/>
    <x v="7"/>
    <x v="7"/>
    <n v="81"/>
    <n v="10022.310074733225"/>
  </r>
  <r>
    <x v="5"/>
    <x v="40"/>
    <x v="40"/>
    <n v="26"/>
    <n v="6889.5518981018986"/>
  </r>
  <r>
    <x v="5"/>
    <x v="36"/>
    <x v="36"/>
    <n v="23"/>
    <n v="10563.360298638559"/>
  </r>
  <r>
    <x v="5"/>
    <x v="59"/>
    <x v="59"/>
    <n v="40"/>
    <n v="9894.3870734126976"/>
  </r>
  <r>
    <x v="5"/>
    <x v="10"/>
    <x v="10"/>
    <n v="44"/>
    <n v="6042.6420848091284"/>
  </r>
  <r>
    <x v="5"/>
    <x v="11"/>
    <x v="11"/>
    <n v="39"/>
    <n v="7945.4344766344775"/>
  </r>
  <r>
    <x v="5"/>
    <x v="12"/>
    <x v="12"/>
    <n v="65"/>
    <n v="7823.3214024864028"/>
  </r>
  <r>
    <x v="5"/>
    <x v="13"/>
    <x v="13"/>
    <n v="38"/>
    <n v="11071.761417748916"/>
  </r>
  <r>
    <x v="5"/>
    <x v="14"/>
    <x v="14"/>
    <n v="86"/>
    <n v="8115.5475422832951"/>
  </r>
  <r>
    <x v="5"/>
    <x v="15"/>
    <x v="15"/>
    <n v="306"/>
    <n v="6513.1400345660168"/>
  </r>
  <r>
    <x v="5"/>
    <x v="16"/>
    <x v="16"/>
    <n v="319"/>
    <n v="9697.6865766939463"/>
  </r>
  <r>
    <x v="5"/>
    <x v="17"/>
    <x v="17"/>
    <n v="24"/>
    <n v="10132.861381673882"/>
  </r>
  <r>
    <x v="5"/>
    <x v="18"/>
    <x v="18"/>
    <n v="297"/>
    <n v="6409.545672331783"/>
  </r>
  <r>
    <x v="5"/>
    <x v="19"/>
    <x v="19"/>
    <n v="292"/>
    <n v="5536.9123318557358"/>
  </r>
  <r>
    <x v="5"/>
    <x v="21"/>
    <x v="21"/>
    <n v="13"/>
    <n v="12106.210683760686"/>
  </r>
  <r>
    <x v="5"/>
    <x v="23"/>
    <x v="23"/>
    <n v="12"/>
    <n v="6072.9905303030309"/>
  </r>
  <r>
    <x v="5"/>
    <x v="48"/>
    <x v="48"/>
    <n v="23"/>
    <n v="6344.3811688311689"/>
  </r>
  <r>
    <x v="5"/>
    <x v="26"/>
    <x v="26"/>
    <n v="108"/>
    <n v="5026.9130695179301"/>
  </r>
  <r>
    <x v="5"/>
    <x v="52"/>
    <x v="52"/>
    <n v="76"/>
    <n v="5946.284367167922"/>
  </r>
  <r>
    <x v="5"/>
    <x v="27"/>
    <x v="27"/>
    <n v="205"/>
    <n v="4346.9812108893802"/>
  </r>
  <r>
    <x v="5"/>
    <x v="38"/>
    <x v="38"/>
    <n v="41"/>
    <n v="5105.9572396438243"/>
  </r>
  <r>
    <x v="5"/>
    <x v="28"/>
    <x v="28"/>
    <n v="133"/>
    <n v="9091.8877515759086"/>
  </r>
  <r>
    <x v="5"/>
    <x v="29"/>
    <x v="29"/>
    <n v="55"/>
    <n v="14258.673714416895"/>
  </r>
  <r>
    <x v="5"/>
    <x v="30"/>
    <x v="30"/>
    <n v="138"/>
    <n v="12402.329789091744"/>
  </r>
  <r>
    <x v="5"/>
    <x v="31"/>
    <x v="31"/>
    <n v="51"/>
    <n v="11750.511001471299"/>
  </r>
  <r>
    <x v="5"/>
    <x v="39"/>
    <x v="39"/>
    <n v="18"/>
    <n v="6666.9249438832776"/>
  </r>
  <r>
    <x v="5"/>
    <x v="32"/>
    <x v="32"/>
    <n v="117"/>
    <n v="3330.2033105783098"/>
  </r>
  <r>
    <x v="5"/>
    <x v="53"/>
    <x v="53"/>
    <n v="10"/>
    <n v="5561.2488095238095"/>
  </r>
  <r>
    <x v="5"/>
    <x v="54"/>
    <x v="54"/>
    <n v="15"/>
    <n v="7692.721111111111"/>
  </r>
  <r>
    <x v="5"/>
    <x v="33"/>
    <x v="33"/>
    <n v="38"/>
    <n v="5467.284201032885"/>
  </r>
  <r>
    <x v="5"/>
    <x v="34"/>
    <x v="34"/>
    <n v="18"/>
    <n v="5010.2967171717173"/>
  </r>
  <r>
    <x v="6"/>
    <x v="0"/>
    <x v="0"/>
    <n v="58"/>
    <n v="10330.538800567248"/>
  </r>
  <r>
    <x v="6"/>
    <x v="2"/>
    <x v="2"/>
    <n v="10"/>
    <n v="23604.058333333331"/>
  </r>
  <r>
    <x v="6"/>
    <x v="36"/>
    <x v="36"/>
    <n v="12"/>
    <n v="20491.786574074071"/>
  </r>
  <r>
    <x v="6"/>
    <x v="8"/>
    <x v="8"/>
    <n v="13"/>
    <n v="17616.862393162392"/>
  </r>
  <r>
    <x v="6"/>
    <x v="12"/>
    <x v="12"/>
    <n v="14"/>
    <n v="19666.49047619048"/>
  </r>
  <r>
    <x v="6"/>
    <x v="14"/>
    <x v="14"/>
    <n v="42"/>
    <n v="15384.123155019581"/>
  </r>
  <r>
    <x v="6"/>
    <x v="15"/>
    <x v="15"/>
    <n v="24"/>
    <n v="10267.914966630593"/>
  </r>
  <r>
    <x v="6"/>
    <x v="18"/>
    <x v="18"/>
    <n v="32"/>
    <n v="10194.319650748555"/>
  </r>
  <r>
    <x v="6"/>
    <x v="19"/>
    <x v="19"/>
    <n v="81"/>
    <n v="5186.4691714321352"/>
  </r>
  <r>
    <x v="6"/>
    <x v="20"/>
    <x v="20"/>
    <n v="29"/>
    <n v="21374.611973180075"/>
  </r>
  <r>
    <x v="6"/>
    <x v="21"/>
    <x v="21"/>
    <n v="11"/>
    <n v="14012.07070707071"/>
  </r>
  <r>
    <x v="6"/>
    <x v="24"/>
    <x v="24"/>
    <n v="25"/>
    <n v="13328.462222222222"/>
  </r>
  <r>
    <x v="6"/>
    <x v="47"/>
    <x v="47"/>
    <n v="12"/>
    <n v="20129.756944444442"/>
  </r>
  <r>
    <x v="6"/>
    <x v="51"/>
    <x v="51"/>
    <n v="13"/>
    <n v="8776.5615384615394"/>
  </r>
  <r>
    <x v="6"/>
    <x v="28"/>
    <x v="28"/>
    <n v="32"/>
    <n v="14722.292629419189"/>
  </r>
  <r>
    <x v="6"/>
    <x v="29"/>
    <x v="29"/>
    <n v="18"/>
    <n v="27062.549158249152"/>
  </r>
  <r>
    <x v="6"/>
    <x v="30"/>
    <x v="30"/>
    <n v="113"/>
    <n v="12355.836028106602"/>
  </r>
  <r>
    <x v="6"/>
    <x v="31"/>
    <x v="31"/>
    <n v="28"/>
    <n v="13532.260615079364"/>
  </r>
  <r>
    <x v="6"/>
    <x v="32"/>
    <x v="32"/>
    <n v="24"/>
    <n v="3346.1871708152958"/>
  </r>
  <r>
    <x v="6"/>
    <x v="54"/>
    <x v="54"/>
    <n v="10"/>
    <n v="19631.109393939394"/>
  </r>
  <r>
    <x v="6"/>
    <x v="33"/>
    <x v="33"/>
    <n v="24"/>
    <n v="8759.2341645622892"/>
  </r>
  <r>
    <x v="6"/>
    <x v="34"/>
    <x v="34"/>
    <n v="39"/>
    <n v="7249.2900284900279"/>
  </r>
  <r>
    <x v="7"/>
    <x v="0"/>
    <x v="0"/>
    <n v="195"/>
    <n v="8751.930204795206"/>
  </r>
  <r>
    <x v="7"/>
    <x v="1"/>
    <x v="1"/>
    <n v="44"/>
    <n v="14775.696969696972"/>
  </r>
  <r>
    <x v="7"/>
    <x v="2"/>
    <x v="2"/>
    <n v="67"/>
    <n v="15159.742680536709"/>
  </r>
  <r>
    <x v="7"/>
    <x v="3"/>
    <x v="3"/>
    <n v="16"/>
    <n v="10855.522118506491"/>
  </r>
  <r>
    <x v="7"/>
    <x v="4"/>
    <x v="4"/>
    <n v="22"/>
    <n v="12916.46556473829"/>
  </r>
  <r>
    <x v="7"/>
    <x v="57"/>
    <x v="57"/>
    <n v="12"/>
    <n v="12427.20833333333"/>
  </r>
  <r>
    <x v="7"/>
    <x v="5"/>
    <x v="5"/>
    <n v="18"/>
    <n v="15363.524933862434"/>
  </r>
  <r>
    <x v="7"/>
    <x v="6"/>
    <x v="6"/>
    <n v="37"/>
    <n v="13852.978797628801"/>
  </r>
  <r>
    <x v="7"/>
    <x v="7"/>
    <x v="7"/>
    <n v="29"/>
    <n v="15645.72796934866"/>
  </r>
  <r>
    <x v="7"/>
    <x v="40"/>
    <x v="40"/>
    <n v="79"/>
    <n v="21433.49936343544"/>
  </r>
  <r>
    <x v="7"/>
    <x v="36"/>
    <x v="36"/>
    <n v="45"/>
    <n v="17391.383333333335"/>
  </r>
  <r>
    <x v="7"/>
    <x v="41"/>
    <x v="41"/>
    <n v="16"/>
    <n v="19345.941382575762"/>
  </r>
  <r>
    <x v="7"/>
    <x v="37"/>
    <x v="37"/>
    <n v="11"/>
    <n v="11436.876623376622"/>
  </r>
  <r>
    <x v="7"/>
    <x v="8"/>
    <x v="8"/>
    <n v="46"/>
    <n v="15493.272546113309"/>
  </r>
  <r>
    <x v="7"/>
    <x v="9"/>
    <x v="9"/>
    <n v="16"/>
    <n v="13842.922301136365"/>
  </r>
  <r>
    <x v="7"/>
    <x v="43"/>
    <x v="43"/>
    <n v="23"/>
    <n v="16843.471256038651"/>
  </r>
  <r>
    <x v="7"/>
    <x v="10"/>
    <x v="10"/>
    <n v="40"/>
    <n v="11159.663809523809"/>
  </r>
  <r>
    <x v="7"/>
    <x v="11"/>
    <x v="11"/>
    <n v="29"/>
    <n v="15369.195812807882"/>
  </r>
  <r>
    <x v="7"/>
    <x v="12"/>
    <x v="12"/>
    <n v="66"/>
    <n v="10886.683682605275"/>
  </r>
  <r>
    <x v="7"/>
    <x v="13"/>
    <x v="13"/>
    <n v="56"/>
    <n v="12752.469417388167"/>
  </r>
  <r>
    <x v="7"/>
    <x v="14"/>
    <x v="14"/>
    <n v="127"/>
    <n v="14276.262022360834"/>
  </r>
  <r>
    <x v="7"/>
    <x v="15"/>
    <x v="15"/>
    <n v="202"/>
    <n v="7885.5436840112607"/>
  </r>
  <r>
    <x v="7"/>
    <x v="16"/>
    <x v="16"/>
    <n v="76"/>
    <n v="12361.983808954201"/>
  </r>
  <r>
    <x v="7"/>
    <x v="17"/>
    <x v="17"/>
    <n v="35"/>
    <n v="11645.238174603175"/>
  </r>
  <r>
    <x v="7"/>
    <x v="18"/>
    <x v="18"/>
    <n v="105"/>
    <n v="8656.5645454545447"/>
  </r>
  <r>
    <x v="7"/>
    <x v="19"/>
    <x v="19"/>
    <n v="309"/>
    <n v="5418.9207105731421"/>
  </r>
  <r>
    <x v="7"/>
    <x v="46"/>
    <x v="46"/>
    <n v="16"/>
    <n v="16885.506696428569"/>
  </r>
  <r>
    <x v="7"/>
    <x v="20"/>
    <x v="20"/>
    <n v="98"/>
    <n v="20425.088145301412"/>
  </r>
  <r>
    <x v="7"/>
    <x v="21"/>
    <x v="21"/>
    <n v="68"/>
    <n v="17209.7939171123"/>
  </r>
  <r>
    <x v="7"/>
    <x v="22"/>
    <x v="22"/>
    <n v="19"/>
    <n v="12716.51134654819"/>
  </r>
  <r>
    <x v="7"/>
    <x v="23"/>
    <x v="23"/>
    <n v="48"/>
    <n v="11717.899389730643"/>
  </r>
  <r>
    <x v="7"/>
    <x v="24"/>
    <x v="24"/>
    <n v="46"/>
    <n v="9709.8523166447103"/>
  </r>
  <r>
    <x v="7"/>
    <x v="25"/>
    <x v="25"/>
    <n v="70"/>
    <n v="14224.183623995052"/>
  </r>
  <r>
    <x v="7"/>
    <x v="47"/>
    <x v="47"/>
    <n v="61"/>
    <n v="20897.329396423251"/>
  </r>
  <r>
    <x v="7"/>
    <x v="48"/>
    <x v="48"/>
    <n v="22"/>
    <n v="9355.9174439197159"/>
  </r>
  <r>
    <x v="7"/>
    <x v="49"/>
    <x v="49"/>
    <n v="15"/>
    <n v="10559.316233766234"/>
  </r>
  <r>
    <x v="7"/>
    <x v="50"/>
    <x v="50"/>
    <n v="14"/>
    <n v="8220.7314265099976"/>
  </r>
  <r>
    <x v="7"/>
    <x v="26"/>
    <x v="26"/>
    <n v="14"/>
    <n v="6866.1239692846839"/>
  </r>
  <r>
    <x v="7"/>
    <x v="51"/>
    <x v="51"/>
    <n v="42"/>
    <n v="10340.225254243111"/>
  </r>
  <r>
    <x v="7"/>
    <x v="52"/>
    <x v="52"/>
    <n v="28"/>
    <n v="8273.6527210884342"/>
  </r>
  <r>
    <x v="7"/>
    <x v="27"/>
    <x v="27"/>
    <n v="29"/>
    <n v="8752.7584900731472"/>
  </r>
  <r>
    <x v="7"/>
    <x v="38"/>
    <x v="38"/>
    <n v="22"/>
    <n v="6917.1725649350665"/>
  </r>
  <r>
    <x v="7"/>
    <x v="28"/>
    <x v="28"/>
    <n v="230"/>
    <n v="10749.086060606058"/>
  </r>
  <r>
    <x v="7"/>
    <x v="29"/>
    <x v="29"/>
    <n v="98"/>
    <n v="18626.644075963723"/>
  </r>
  <r>
    <x v="7"/>
    <x v="30"/>
    <x v="30"/>
    <n v="477"/>
    <n v="12015.843904982743"/>
  </r>
  <r>
    <x v="7"/>
    <x v="31"/>
    <x v="31"/>
    <n v="122"/>
    <n v="14930.607270006862"/>
  </r>
  <r>
    <x v="7"/>
    <x v="39"/>
    <x v="39"/>
    <n v="28"/>
    <n v="8643.5385938466297"/>
  </r>
  <r>
    <x v="7"/>
    <x v="32"/>
    <x v="32"/>
    <n v="127"/>
    <n v="5174.5433022576735"/>
  </r>
  <r>
    <x v="7"/>
    <x v="53"/>
    <x v="53"/>
    <n v="15"/>
    <n v="8518.1352693602694"/>
  </r>
  <r>
    <x v="7"/>
    <x v="54"/>
    <x v="54"/>
    <n v="25"/>
    <n v="13679.966060606057"/>
  </r>
  <r>
    <x v="7"/>
    <x v="33"/>
    <x v="33"/>
    <n v="114"/>
    <n v="6158.0344687476281"/>
  </r>
  <r>
    <x v="7"/>
    <x v="34"/>
    <x v="34"/>
    <n v="93"/>
    <n v="8183.5494612018811"/>
  </r>
  <r>
    <x v="7"/>
    <x v="35"/>
    <x v="35"/>
    <n v="11"/>
    <n v="9429.4448773448785"/>
  </r>
  <r>
    <x v="8"/>
    <x v="0"/>
    <x v="0"/>
    <n v="149"/>
    <n v="6229.8264638232758"/>
  </r>
  <r>
    <x v="8"/>
    <x v="2"/>
    <x v="2"/>
    <n v="25"/>
    <n v="4164.1901616161622"/>
  </r>
  <r>
    <x v="8"/>
    <x v="3"/>
    <x v="3"/>
    <n v="14"/>
    <n v="11716.459523809523"/>
  </r>
  <r>
    <x v="8"/>
    <x v="4"/>
    <x v="4"/>
    <n v="14"/>
    <n v="6471.3520923520919"/>
  </r>
  <r>
    <x v="8"/>
    <x v="5"/>
    <x v="5"/>
    <n v="21"/>
    <n v="10343.145306809593"/>
  </r>
  <r>
    <x v="8"/>
    <x v="6"/>
    <x v="6"/>
    <n v="24"/>
    <n v="8754.2782407407412"/>
  </r>
  <r>
    <x v="8"/>
    <x v="7"/>
    <x v="7"/>
    <n v="37"/>
    <n v="7601.9523058773057"/>
  </r>
  <r>
    <x v="8"/>
    <x v="40"/>
    <x v="40"/>
    <n v="10"/>
    <n v="17520.875808080811"/>
  </r>
  <r>
    <x v="8"/>
    <x v="36"/>
    <x v="36"/>
    <n v="14"/>
    <n v="8320.5743970315416"/>
  </r>
  <r>
    <x v="8"/>
    <x v="37"/>
    <x v="37"/>
    <n v="24"/>
    <n v="5775.5188416907176"/>
  </r>
  <r>
    <x v="8"/>
    <x v="8"/>
    <x v="8"/>
    <n v="17"/>
    <n v="8851.2093137254888"/>
  </r>
  <r>
    <x v="8"/>
    <x v="10"/>
    <x v="10"/>
    <n v="504"/>
    <n v="7354.7685781425344"/>
  </r>
  <r>
    <x v="8"/>
    <x v="11"/>
    <x v="11"/>
    <n v="215"/>
    <n v="8153.4879229168773"/>
  </r>
  <r>
    <x v="8"/>
    <x v="12"/>
    <x v="12"/>
    <n v="421"/>
    <n v="6071.4843371790566"/>
  </r>
  <r>
    <x v="8"/>
    <x v="13"/>
    <x v="13"/>
    <n v="51"/>
    <n v="6871.9623221005568"/>
  </r>
  <r>
    <x v="8"/>
    <x v="14"/>
    <x v="14"/>
    <n v="119"/>
    <n v="6695.0642702535542"/>
  </r>
  <r>
    <x v="8"/>
    <x v="15"/>
    <x v="15"/>
    <n v="440"/>
    <n v="4729.4022943722939"/>
  </r>
  <r>
    <x v="8"/>
    <x v="16"/>
    <x v="16"/>
    <n v="86"/>
    <n v="7183.7364492097067"/>
  </r>
  <r>
    <x v="8"/>
    <x v="17"/>
    <x v="17"/>
    <n v="74"/>
    <n v="5152.6851107601124"/>
  </r>
  <r>
    <x v="8"/>
    <x v="18"/>
    <x v="18"/>
    <n v="105"/>
    <n v="5925.6198690991559"/>
  </r>
  <r>
    <x v="8"/>
    <x v="19"/>
    <x v="19"/>
    <n v="258"/>
    <n v="4255.7516465876906"/>
  </r>
  <r>
    <x v="8"/>
    <x v="46"/>
    <x v="46"/>
    <n v="14"/>
    <n v="7913.4793083900231"/>
  </r>
  <r>
    <x v="8"/>
    <x v="20"/>
    <x v="20"/>
    <n v="72"/>
    <n v="16728.349825136283"/>
  </r>
  <r>
    <x v="8"/>
    <x v="21"/>
    <x v="21"/>
    <n v="77"/>
    <n v="7334.9983583516059"/>
  </r>
  <r>
    <x v="8"/>
    <x v="22"/>
    <x v="22"/>
    <n v="35"/>
    <n v="7089.7302886002899"/>
  </r>
  <r>
    <x v="8"/>
    <x v="23"/>
    <x v="23"/>
    <n v="48"/>
    <n v="5209.8248496873493"/>
  </r>
  <r>
    <x v="8"/>
    <x v="24"/>
    <x v="24"/>
    <n v="12"/>
    <n v="9213.0303030303021"/>
  </r>
  <r>
    <x v="8"/>
    <x v="25"/>
    <x v="25"/>
    <n v="168"/>
    <n v="8553.2514827269315"/>
  </r>
  <r>
    <x v="8"/>
    <x v="48"/>
    <x v="48"/>
    <n v="15"/>
    <n v="5063.0659692159688"/>
  </r>
  <r>
    <x v="8"/>
    <x v="26"/>
    <x v="26"/>
    <n v="189"/>
    <n v="3905.049872305824"/>
  </r>
  <r>
    <x v="8"/>
    <x v="51"/>
    <x v="51"/>
    <n v="10"/>
    <n v="3720.1033333333335"/>
  </r>
  <r>
    <x v="8"/>
    <x v="52"/>
    <x v="52"/>
    <n v="17"/>
    <n v="6058.6673202614384"/>
  </r>
  <r>
    <x v="8"/>
    <x v="27"/>
    <x v="27"/>
    <n v="58"/>
    <n v="4227.1709185450572"/>
  </r>
  <r>
    <x v="8"/>
    <x v="38"/>
    <x v="38"/>
    <n v="22"/>
    <n v="5905.2760330578512"/>
  </r>
  <r>
    <x v="8"/>
    <x v="28"/>
    <x v="28"/>
    <n v="184"/>
    <n v="9483.8517437574483"/>
  </r>
  <r>
    <x v="8"/>
    <x v="29"/>
    <x v="29"/>
    <n v="58"/>
    <n v="22865.034099616849"/>
  </r>
  <r>
    <x v="8"/>
    <x v="30"/>
    <x v="30"/>
    <n v="411"/>
    <n v="11806.897905014701"/>
  </r>
  <r>
    <x v="8"/>
    <x v="31"/>
    <x v="31"/>
    <n v="194"/>
    <n v="13947.237049991812"/>
  </r>
  <r>
    <x v="8"/>
    <x v="39"/>
    <x v="39"/>
    <n v="15"/>
    <n v="6755.1656060606056"/>
  </r>
  <r>
    <x v="8"/>
    <x v="32"/>
    <x v="32"/>
    <n v="292"/>
    <n v="3117.6834603372281"/>
  </r>
  <r>
    <x v="8"/>
    <x v="54"/>
    <x v="54"/>
    <n v="15"/>
    <n v="8981.2183333333342"/>
  </r>
  <r>
    <x v="8"/>
    <x v="33"/>
    <x v="33"/>
    <n v="150"/>
    <n v="5879.4989788359817"/>
  </r>
  <r>
    <x v="8"/>
    <x v="34"/>
    <x v="34"/>
    <n v="25"/>
    <n v="6545.0943174603171"/>
  </r>
  <r>
    <x v="8"/>
    <x v="35"/>
    <x v="35"/>
    <n v="11"/>
    <n v="3443.9152892561983"/>
  </r>
  <r>
    <x v="9"/>
    <x v="0"/>
    <x v="0"/>
    <n v="55"/>
    <n v="8016.8960415846796"/>
  </r>
  <r>
    <x v="9"/>
    <x v="2"/>
    <x v="2"/>
    <n v="11"/>
    <n v="14229.435261707988"/>
  </r>
  <r>
    <x v="9"/>
    <x v="3"/>
    <x v="3"/>
    <n v="12"/>
    <n v="9337.7949134199134"/>
  </r>
  <r>
    <x v="9"/>
    <x v="40"/>
    <x v="40"/>
    <n v="15"/>
    <n v="25721.87777777778"/>
  </r>
  <r>
    <x v="9"/>
    <x v="36"/>
    <x v="36"/>
    <n v="10"/>
    <n v="18990.791666666668"/>
  </r>
  <r>
    <x v="9"/>
    <x v="8"/>
    <x v="8"/>
    <n v="12"/>
    <n v="12301.375757575757"/>
  </r>
  <r>
    <x v="9"/>
    <x v="13"/>
    <x v="13"/>
    <n v="11"/>
    <n v="11069.600550964185"/>
  </r>
  <r>
    <x v="9"/>
    <x v="14"/>
    <x v="14"/>
    <n v="20"/>
    <n v="10004.96369047619"/>
  </r>
  <r>
    <x v="9"/>
    <x v="15"/>
    <x v="15"/>
    <n v="46"/>
    <n v="8182.9828886693022"/>
  </r>
  <r>
    <x v="9"/>
    <x v="16"/>
    <x v="16"/>
    <n v="12"/>
    <n v="13776.240530303026"/>
  </r>
  <r>
    <x v="9"/>
    <x v="18"/>
    <x v="18"/>
    <n v="30"/>
    <n v="8802.0533742183743"/>
  </r>
  <r>
    <x v="9"/>
    <x v="19"/>
    <x v="19"/>
    <n v="97"/>
    <n v="5370.2179151604387"/>
  </r>
  <r>
    <x v="9"/>
    <x v="20"/>
    <x v="20"/>
    <n v="31"/>
    <n v="23604.827624167945"/>
  </r>
  <r>
    <x v="9"/>
    <x v="21"/>
    <x v="21"/>
    <n v="11"/>
    <n v="22313.839761248852"/>
  </r>
  <r>
    <x v="9"/>
    <x v="24"/>
    <x v="24"/>
    <n v="24"/>
    <n v="12429.454861111111"/>
  </r>
  <r>
    <x v="9"/>
    <x v="25"/>
    <x v="25"/>
    <n v="11"/>
    <n v="11527.333333333334"/>
  </r>
  <r>
    <x v="9"/>
    <x v="47"/>
    <x v="47"/>
    <n v="26"/>
    <n v="12194.07531080031"/>
  </r>
  <r>
    <x v="9"/>
    <x v="52"/>
    <x v="52"/>
    <n v="12"/>
    <n v="8490.3188131313127"/>
  </r>
  <r>
    <x v="9"/>
    <x v="28"/>
    <x v="28"/>
    <n v="47"/>
    <n v="10752.387168800466"/>
  </r>
  <r>
    <x v="9"/>
    <x v="29"/>
    <x v="29"/>
    <n v="13"/>
    <n v="20679.251831501831"/>
  </r>
  <r>
    <x v="9"/>
    <x v="30"/>
    <x v="30"/>
    <n v="144"/>
    <n v="11140.562569394337"/>
  </r>
  <r>
    <x v="9"/>
    <x v="31"/>
    <x v="31"/>
    <n v="19"/>
    <n v="22003.968567251464"/>
  </r>
  <r>
    <x v="9"/>
    <x v="32"/>
    <x v="32"/>
    <n v="49"/>
    <n v="6361.9729753806287"/>
  </r>
  <r>
    <x v="9"/>
    <x v="33"/>
    <x v="33"/>
    <n v="44"/>
    <n v="4434.0678538633074"/>
  </r>
  <r>
    <x v="9"/>
    <x v="34"/>
    <x v="34"/>
    <n v="43"/>
    <n v="6951.7180878552972"/>
  </r>
  <r>
    <x v="10"/>
    <x v="0"/>
    <x v="0"/>
    <n v="101"/>
    <n v="5638.8328264969341"/>
  </r>
  <r>
    <x v="10"/>
    <x v="1"/>
    <x v="1"/>
    <n v="21"/>
    <n v="10678.129966329967"/>
  </r>
  <r>
    <x v="10"/>
    <x v="2"/>
    <x v="2"/>
    <n v="10"/>
    <n v="8800.2578787878811"/>
  </r>
  <r>
    <x v="10"/>
    <x v="4"/>
    <x v="4"/>
    <n v="10"/>
    <n v="7677.6357142857141"/>
  </r>
  <r>
    <x v="10"/>
    <x v="8"/>
    <x v="8"/>
    <n v="10"/>
    <n v="7819.8305555555562"/>
  </r>
  <r>
    <x v="10"/>
    <x v="10"/>
    <x v="10"/>
    <n v="142"/>
    <n v="6450.8133129585576"/>
  </r>
  <r>
    <x v="10"/>
    <x v="11"/>
    <x v="11"/>
    <n v="118"/>
    <n v="5867.1932756744181"/>
  </r>
  <r>
    <x v="10"/>
    <x v="12"/>
    <x v="12"/>
    <n v="155"/>
    <n v="5326.4807017176363"/>
  </r>
  <r>
    <x v="10"/>
    <x v="13"/>
    <x v="13"/>
    <n v="16"/>
    <n v="8328.3026515151505"/>
  </r>
  <r>
    <x v="10"/>
    <x v="14"/>
    <x v="14"/>
    <n v="57"/>
    <n v="5733.4737228171452"/>
  </r>
  <r>
    <x v="10"/>
    <x v="15"/>
    <x v="15"/>
    <n v="138"/>
    <n v="4717.4416687579742"/>
  </r>
  <r>
    <x v="10"/>
    <x v="16"/>
    <x v="16"/>
    <n v="42"/>
    <n v="5854.8677119837848"/>
  </r>
  <r>
    <x v="10"/>
    <x v="17"/>
    <x v="17"/>
    <n v="27"/>
    <n v="5108.4160787771907"/>
  </r>
  <r>
    <x v="10"/>
    <x v="18"/>
    <x v="18"/>
    <n v="45"/>
    <n v="6539.2275653358993"/>
  </r>
  <r>
    <x v="10"/>
    <x v="19"/>
    <x v="19"/>
    <n v="65"/>
    <n v="3765.3124536574551"/>
  </r>
  <r>
    <x v="10"/>
    <x v="21"/>
    <x v="21"/>
    <n v="10"/>
    <n v="9229.9967460317457"/>
  </r>
  <r>
    <x v="10"/>
    <x v="25"/>
    <x v="25"/>
    <n v="28"/>
    <n v="6643.1895833333338"/>
  </r>
  <r>
    <x v="10"/>
    <x v="26"/>
    <x v="26"/>
    <n v="63"/>
    <n v="3077.7692434549576"/>
  </r>
  <r>
    <x v="10"/>
    <x v="27"/>
    <x v="27"/>
    <n v="27"/>
    <n v="3140.0772967772959"/>
  </r>
  <r>
    <x v="10"/>
    <x v="28"/>
    <x v="28"/>
    <n v="85"/>
    <n v="8617.8424144809451"/>
  </r>
  <r>
    <x v="10"/>
    <x v="29"/>
    <x v="29"/>
    <n v="14"/>
    <n v="27027.604437229438"/>
  </r>
  <r>
    <x v="10"/>
    <x v="30"/>
    <x v="30"/>
    <n v="127"/>
    <n v="12095.371557248525"/>
  </r>
  <r>
    <x v="10"/>
    <x v="31"/>
    <x v="31"/>
    <n v="72"/>
    <n v="15795.654105539517"/>
  </r>
  <r>
    <x v="10"/>
    <x v="32"/>
    <x v="32"/>
    <n v="130"/>
    <n v="2876.7542696192695"/>
  </r>
  <r>
    <x v="10"/>
    <x v="33"/>
    <x v="33"/>
    <n v="19"/>
    <n v="5793.5115914786975"/>
  </r>
  <r>
    <x v="11"/>
    <x v="0"/>
    <x v="0"/>
    <n v="360"/>
    <n v="8061.5493179814011"/>
  </r>
  <r>
    <x v="11"/>
    <x v="61"/>
    <x v="61"/>
    <n v="18"/>
    <n v="11556.796957671957"/>
  </r>
  <r>
    <x v="11"/>
    <x v="1"/>
    <x v="1"/>
    <n v="123"/>
    <n v="9191.8874209575461"/>
  </r>
  <r>
    <x v="11"/>
    <x v="56"/>
    <x v="56"/>
    <n v="20"/>
    <n v="16193.650357142862"/>
  </r>
  <r>
    <x v="11"/>
    <x v="2"/>
    <x v="2"/>
    <n v="178"/>
    <n v="8697.7224325923744"/>
  </r>
  <r>
    <x v="11"/>
    <x v="3"/>
    <x v="3"/>
    <n v="75"/>
    <n v="11615.046945646949"/>
  </r>
  <r>
    <x v="11"/>
    <x v="4"/>
    <x v="4"/>
    <n v="11"/>
    <n v="13146.742424242424"/>
  </r>
  <r>
    <x v="11"/>
    <x v="5"/>
    <x v="5"/>
    <n v="34"/>
    <n v="9337.7551619132482"/>
  </r>
  <r>
    <x v="11"/>
    <x v="60"/>
    <x v="60"/>
    <n v="13"/>
    <n v="11569.455128205127"/>
  </r>
  <r>
    <x v="11"/>
    <x v="6"/>
    <x v="6"/>
    <n v="34"/>
    <n v="14234.752005347593"/>
  </r>
  <r>
    <x v="11"/>
    <x v="7"/>
    <x v="7"/>
    <n v="97"/>
    <n v="13386.158817557016"/>
  </r>
  <r>
    <x v="11"/>
    <x v="40"/>
    <x v="40"/>
    <n v="67"/>
    <n v="22385.483129805518"/>
  </r>
  <r>
    <x v="11"/>
    <x v="36"/>
    <x v="36"/>
    <n v="94"/>
    <n v="11628.239120690181"/>
  </r>
  <r>
    <x v="11"/>
    <x v="41"/>
    <x v="41"/>
    <n v="63"/>
    <n v="13607.23302469135"/>
  </r>
  <r>
    <x v="11"/>
    <x v="37"/>
    <x v="37"/>
    <n v="29"/>
    <n v="9040.3448101706726"/>
  </r>
  <r>
    <x v="11"/>
    <x v="8"/>
    <x v="8"/>
    <n v="113"/>
    <n v="12751.3659189876"/>
  </r>
  <r>
    <x v="11"/>
    <x v="42"/>
    <x v="42"/>
    <n v="17"/>
    <n v="27308.107843137259"/>
  </r>
  <r>
    <x v="11"/>
    <x v="43"/>
    <x v="43"/>
    <n v="25"/>
    <n v="20873.30387878788"/>
  </r>
  <r>
    <x v="11"/>
    <x v="59"/>
    <x v="59"/>
    <n v="31"/>
    <n v="14297.669674859195"/>
  </r>
  <r>
    <x v="11"/>
    <x v="10"/>
    <x v="10"/>
    <n v="96"/>
    <n v="11812.628791260824"/>
  </r>
  <r>
    <x v="11"/>
    <x v="11"/>
    <x v="11"/>
    <n v="42"/>
    <n v="15276.875130557275"/>
  </r>
  <r>
    <x v="11"/>
    <x v="12"/>
    <x v="12"/>
    <n v="124"/>
    <n v="9493.085958955915"/>
  </r>
  <r>
    <x v="11"/>
    <x v="13"/>
    <x v="13"/>
    <n v="46"/>
    <n v="11342.405544576195"/>
  </r>
  <r>
    <x v="11"/>
    <x v="14"/>
    <x v="14"/>
    <n v="202"/>
    <n v="11523.240302780287"/>
  </r>
  <r>
    <x v="11"/>
    <x v="15"/>
    <x v="15"/>
    <n v="433"/>
    <n v="6335.6027896083951"/>
  </r>
  <r>
    <x v="11"/>
    <x v="16"/>
    <x v="16"/>
    <n v="193"/>
    <n v="11052.300951035138"/>
  </r>
  <r>
    <x v="11"/>
    <x v="17"/>
    <x v="17"/>
    <n v="25"/>
    <n v="13588.123809523811"/>
  </r>
  <r>
    <x v="11"/>
    <x v="18"/>
    <x v="18"/>
    <n v="197"/>
    <n v="5683.1943962833539"/>
  </r>
  <r>
    <x v="11"/>
    <x v="19"/>
    <x v="19"/>
    <n v="373"/>
    <n v="4670.9743517132274"/>
  </r>
  <r>
    <x v="11"/>
    <x v="46"/>
    <x v="46"/>
    <n v="15"/>
    <n v="16094.506666666666"/>
  </r>
  <r>
    <x v="11"/>
    <x v="20"/>
    <x v="20"/>
    <n v="141"/>
    <n v="23968.262240438838"/>
  </r>
  <r>
    <x v="11"/>
    <x v="21"/>
    <x v="21"/>
    <n v="106"/>
    <n v="15233.819864412317"/>
  </r>
  <r>
    <x v="11"/>
    <x v="22"/>
    <x v="22"/>
    <n v="32"/>
    <n v="13351.018623737375"/>
  </r>
  <r>
    <x v="11"/>
    <x v="23"/>
    <x v="23"/>
    <n v="68"/>
    <n v="10578.873839763179"/>
  </r>
  <r>
    <x v="11"/>
    <x v="24"/>
    <x v="24"/>
    <n v="36"/>
    <n v="10754.361522967774"/>
  </r>
  <r>
    <x v="11"/>
    <x v="25"/>
    <x v="25"/>
    <n v="65"/>
    <n v="14008.288927738931"/>
  </r>
  <r>
    <x v="11"/>
    <x v="47"/>
    <x v="47"/>
    <n v="50"/>
    <n v="23468.638396103899"/>
  </r>
  <r>
    <x v="11"/>
    <x v="48"/>
    <x v="48"/>
    <n v="32"/>
    <n v="8345.909665854977"/>
  </r>
  <r>
    <x v="11"/>
    <x v="49"/>
    <x v="49"/>
    <n v="14"/>
    <n v="10846.034686147186"/>
  </r>
  <r>
    <x v="11"/>
    <x v="26"/>
    <x v="26"/>
    <n v="77"/>
    <n v="4848.0855371900816"/>
  </r>
  <r>
    <x v="11"/>
    <x v="51"/>
    <x v="51"/>
    <n v="20"/>
    <n v="4660.2024494949492"/>
  </r>
  <r>
    <x v="11"/>
    <x v="52"/>
    <x v="52"/>
    <n v="69"/>
    <n v="7085.2795198360418"/>
  </r>
  <r>
    <x v="11"/>
    <x v="27"/>
    <x v="27"/>
    <n v="104"/>
    <n v="6742.4393790237527"/>
  </r>
  <r>
    <x v="11"/>
    <x v="38"/>
    <x v="38"/>
    <n v="130"/>
    <n v="5331.4104392829377"/>
  </r>
  <r>
    <x v="11"/>
    <x v="28"/>
    <x v="28"/>
    <n v="452"/>
    <n v="9480.0796028393943"/>
  </r>
  <r>
    <x v="11"/>
    <x v="29"/>
    <x v="29"/>
    <n v="226"/>
    <n v="16167.983333333324"/>
  </r>
  <r>
    <x v="11"/>
    <x v="30"/>
    <x v="30"/>
    <n v="863"/>
    <n v="10470.028847948121"/>
  </r>
  <r>
    <x v="11"/>
    <x v="31"/>
    <x v="31"/>
    <n v="213"/>
    <n v="11949.449178403749"/>
  </r>
  <r>
    <x v="11"/>
    <x v="39"/>
    <x v="39"/>
    <n v="36"/>
    <n v="11691.619666907167"/>
  </r>
  <r>
    <x v="11"/>
    <x v="32"/>
    <x v="32"/>
    <n v="276"/>
    <n v="4454.1085956615852"/>
  </r>
  <r>
    <x v="11"/>
    <x v="53"/>
    <x v="53"/>
    <n v="12"/>
    <n v="4926.3"/>
  </r>
  <r>
    <x v="11"/>
    <x v="54"/>
    <x v="54"/>
    <n v="21"/>
    <n v="12370.067120181408"/>
  </r>
  <r>
    <x v="11"/>
    <x v="33"/>
    <x v="33"/>
    <n v="83"/>
    <n v="5546.2954241207262"/>
  </r>
  <r>
    <x v="11"/>
    <x v="34"/>
    <x v="34"/>
    <n v="158"/>
    <n v="7762.1780296180614"/>
  </r>
  <r>
    <x v="11"/>
    <x v="35"/>
    <x v="35"/>
    <n v="29"/>
    <n v="5432.3288699805935"/>
  </r>
  <r>
    <x v="12"/>
    <x v="0"/>
    <x v="0"/>
    <n v="84"/>
    <n v="6796.6714247062464"/>
  </r>
  <r>
    <x v="12"/>
    <x v="55"/>
    <x v="55"/>
    <n v="19"/>
    <n v="8293.8170483025751"/>
  </r>
  <r>
    <x v="12"/>
    <x v="2"/>
    <x v="2"/>
    <n v="22"/>
    <n v="11580.145454545458"/>
  </r>
  <r>
    <x v="12"/>
    <x v="4"/>
    <x v="4"/>
    <n v="14"/>
    <n v="8537.4957482993213"/>
  </r>
  <r>
    <x v="12"/>
    <x v="57"/>
    <x v="57"/>
    <n v="24"/>
    <n v="11870.100631313131"/>
  </r>
  <r>
    <x v="12"/>
    <x v="5"/>
    <x v="5"/>
    <n v="26"/>
    <n v="10293.425427350428"/>
  </r>
  <r>
    <x v="12"/>
    <x v="6"/>
    <x v="6"/>
    <n v="136"/>
    <n v="9153.9301229203793"/>
  </r>
  <r>
    <x v="12"/>
    <x v="9"/>
    <x v="9"/>
    <n v="13"/>
    <n v="9342.5396270396286"/>
  </r>
  <r>
    <x v="12"/>
    <x v="10"/>
    <x v="10"/>
    <n v="27"/>
    <n v="7074.497119341564"/>
  </r>
  <r>
    <x v="12"/>
    <x v="11"/>
    <x v="11"/>
    <n v="21"/>
    <n v="8284.487433862434"/>
  </r>
  <r>
    <x v="12"/>
    <x v="12"/>
    <x v="12"/>
    <n v="29"/>
    <n v="8131.1810344827572"/>
  </r>
  <r>
    <x v="12"/>
    <x v="14"/>
    <x v="14"/>
    <n v="23"/>
    <n v="5855.990865173474"/>
  </r>
  <r>
    <x v="12"/>
    <x v="15"/>
    <x v="15"/>
    <n v="93"/>
    <n v="5520.9910188676331"/>
  </r>
  <r>
    <x v="12"/>
    <x v="16"/>
    <x v="16"/>
    <n v="57"/>
    <n v="7900.238917369179"/>
  </r>
  <r>
    <x v="12"/>
    <x v="18"/>
    <x v="18"/>
    <n v="91"/>
    <n v="6762.93049252335"/>
  </r>
  <r>
    <x v="12"/>
    <x v="19"/>
    <x v="19"/>
    <n v="62"/>
    <n v="6673.9742418423875"/>
  </r>
  <r>
    <x v="12"/>
    <x v="23"/>
    <x v="23"/>
    <n v="12"/>
    <n v="6092.6488095238092"/>
  </r>
  <r>
    <x v="12"/>
    <x v="25"/>
    <x v="25"/>
    <n v="12"/>
    <n v="14475.766666666668"/>
  </r>
  <r>
    <x v="12"/>
    <x v="26"/>
    <x v="26"/>
    <n v="44"/>
    <n v="4531.5031319690406"/>
  </r>
  <r>
    <x v="12"/>
    <x v="27"/>
    <x v="27"/>
    <n v="161"/>
    <n v="5258.8801107794898"/>
  </r>
  <r>
    <x v="12"/>
    <x v="28"/>
    <x v="28"/>
    <n v="55"/>
    <n v="12427.304035812673"/>
  </r>
  <r>
    <x v="12"/>
    <x v="29"/>
    <x v="29"/>
    <n v="14"/>
    <n v="23956.66411564625"/>
  </r>
  <r>
    <x v="12"/>
    <x v="30"/>
    <x v="30"/>
    <n v="114"/>
    <n v="13214.993088149668"/>
  </r>
  <r>
    <x v="12"/>
    <x v="31"/>
    <x v="31"/>
    <n v="33"/>
    <n v="22074.266426166429"/>
  </r>
  <r>
    <x v="12"/>
    <x v="32"/>
    <x v="32"/>
    <n v="44"/>
    <n v="3626.6052890922206"/>
  </r>
  <r>
    <x v="12"/>
    <x v="54"/>
    <x v="54"/>
    <n v="20"/>
    <n v="11310.906287878786"/>
  </r>
  <r>
    <x v="13"/>
    <x v="0"/>
    <x v="0"/>
    <n v="137"/>
    <n v="5964.125875280437"/>
  </r>
  <r>
    <x v="13"/>
    <x v="2"/>
    <x v="2"/>
    <n v="13"/>
    <n v="7540.7733100233108"/>
  </r>
  <r>
    <x v="13"/>
    <x v="3"/>
    <x v="3"/>
    <n v="13"/>
    <n v="13674.997130647129"/>
  </r>
  <r>
    <x v="13"/>
    <x v="5"/>
    <x v="5"/>
    <n v="14"/>
    <n v="10468.161525974025"/>
  </r>
  <r>
    <x v="13"/>
    <x v="6"/>
    <x v="6"/>
    <n v="31"/>
    <n v="10064.386154168413"/>
  </r>
  <r>
    <x v="13"/>
    <x v="36"/>
    <x v="36"/>
    <n v="13"/>
    <n v="11014.596153846154"/>
  </r>
  <r>
    <x v="13"/>
    <x v="10"/>
    <x v="10"/>
    <n v="56"/>
    <n v="5473.7456155947229"/>
  </r>
  <r>
    <x v="13"/>
    <x v="11"/>
    <x v="11"/>
    <n v="11"/>
    <n v="9219.8585858585866"/>
  </r>
  <r>
    <x v="13"/>
    <x v="12"/>
    <x v="12"/>
    <n v="78"/>
    <n v="4968.9155811780811"/>
  </r>
  <r>
    <x v="13"/>
    <x v="13"/>
    <x v="13"/>
    <n v="10"/>
    <n v="7461.6749999999984"/>
  </r>
  <r>
    <x v="13"/>
    <x v="15"/>
    <x v="15"/>
    <n v="70"/>
    <n v="4994.6964744382585"/>
  </r>
  <r>
    <x v="13"/>
    <x v="16"/>
    <x v="16"/>
    <n v="51"/>
    <n v="6750.961055937526"/>
  </r>
  <r>
    <x v="13"/>
    <x v="17"/>
    <x v="17"/>
    <n v="12"/>
    <n v="10046.871148989901"/>
  </r>
  <r>
    <x v="13"/>
    <x v="18"/>
    <x v="18"/>
    <n v="35"/>
    <n v="7710.2585322613895"/>
  </r>
  <r>
    <x v="13"/>
    <x v="19"/>
    <x v="19"/>
    <n v="29"/>
    <n v="4334.9898094242926"/>
  </r>
  <r>
    <x v="13"/>
    <x v="21"/>
    <x v="21"/>
    <n v="14"/>
    <n v="7188.8719078540516"/>
  </r>
  <r>
    <x v="13"/>
    <x v="23"/>
    <x v="23"/>
    <n v="10"/>
    <n v="5355.0989682539685"/>
  </r>
  <r>
    <x v="13"/>
    <x v="25"/>
    <x v="25"/>
    <n v="25"/>
    <n v="10132.804787878787"/>
  </r>
  <r>
    <x v="13"/>
    <x v="26"/>
    <x v="26"/>
    <n v="27"/>
    <n v="6097.1738536155208"/>
  </r>
  <r>
    <x v="13"/>
    <x v="27"/>
    <x v="27"/>
    <n v="11"/>
    <n v="6234.8878787878784"/>
  </r>
  <r>
    <x v="13"/>
    <x v="28"/>
    <x v="28"/>
    <n v="44"/>
    <n v="9783.648617670211"/>
  </r>
  <r>
    <x v="13"/>
    <x v="29"/>
    <x v="29"/>
    <n v="13"/>
    <n v="23718.373076923075"/>
  </r>
  <r>
    <x v="13"/>
    <x v="30"/>
    <x v="30"/>
    <n v="70"/>
    <n v="11681.76281849103"/>
  </r>
  <r>
    <x v="13"/>
    <x v="31"/>
    <x v="31"/>
    <n v="48"/>
    <n v="13097.087847222225"/>
  </r>
  <r>
    <x v="13"/>
    <x v="32"/>
    <x v="32"/>
    <n v="69"/>
    <n v="2657.7486223518845"/>
  </r>
  <r>
    <x v="13"/>
    <x v="54"/>
    <x v="54"/>
    <n v="38"/>
    <n v="12583.409795321642"/>
  </r>
  <r>
    <x v="13"/>
    <x v="33"/>
    <x v="33"/>
    <n v="24"/>
    <n v="5658.879274891774"/>
  </r>
  <r>
    <x v="14"/>
    <x v="0"/>
    <x v="0"/>
    <n v="78"/>
    <n v="7665.1479377104361"/>
  </r>
  <r>
    <x v="14"/>
    <x v="61"/>
    <x v="61"/>
    <n v="15"/>
    <n v="20476.305555555558"/>
  </r>
  <r>
    <x v="14"/>
    <x v="1"/>
    <x v="1"/>
    <n v="23"/>
    <n v="8597.7324330259107"/>
  </r>
  <r>
    <x v="14"/>
    <x v="2"/>
    <x v="2"/>
    <n v="440"/>
    <n v="9440.1945827594118"/>
  </r>
  <r>
    <x v="14"/>
    <x v="3"/>
    <x v="3"/>
    <n v="53"/>
    <n v="8448.5173092107088"/>
  </r>
  <r>
    <x v="14"/>
    <x v="4"/>
    <x v="4"/>
    <n v="29"/>
    <n v="6162.1718739115277"/>
  </r>
  <r>
    <x v="14"/>
    <x v="57"/>
    <x v="57"/>
    <n v="94"/>
    <n v="8686.3525217985298"/>
  </r>
  <r>
    <x v="14"/>
    <x v="62"/>
    <x v="62"/>
    <n v="21"/>
    <n v="7341.1387755102032"/>
  </r>
  <r>
    <x v="14"/>
    <x v="5"/>
    <x v="5"/>
    <n v="49"/>
    <n v="7379.0216376593926"/>
  </r>
  <r>
    <x v="14"/>
    <x v="6"/>
    <x v="6"/>
    <n v="48"/>
    <n v="9098.6263377825835"/>
  </r>
  <r>
    <x v="14"/>
    <x v="7"/>
    <x v="7"/>
    <n v="71"/>
    <n v="13232.76467745869"/>
  </r>
  <r>
    <x v="14"/>
    <x v="40"/>
    <x v="40"/>
    <n v="41"/>
    <n v="16449.850303558225"/>
  </r>
  <r>
    <x v="14"/>
    <x v="36"/>
    <x v="36"/>
    <n v="190"/>
    <n v="8969.245157590949"/>
  </r>
  <r>
    <x v="14"/>
    <x v="41"/>
    <x v="41"/>
    <n v="39"/>
    <n v="11792.26047008547"/>
  </r>
  <r>
    <x v="14"/>
    <x v="37"/>
    <x v="37"/>
    <n v="34"/>
    <n v="9067.081788472964"/>
  </r>
  <r>
    <x v="14"/>
    <x v="8"/>
    <x v="8"/>
    <n v="40"/>
    <n v="11180.051017316016"/>
  </r>
  <r>
    <x v="14"/>
    <x v="42"/>
    <x v="42"/>
    <n v="27"/>
    <n v="24387.812169312165"/>
  </r>
  <r>
    <x v="14"/>
    <x v="43"/>
    <x v="43"/>
    <n v="32"/>
    <n v="23827.887500000001"/>
  </r>
  <r>
    <x v="14"/>
    <x v="59"/>
    <x v="59"/>
    <n v="18"/>
    <n v="7582.1541806958476"/>
  </r>
  <r>
    <x v="14"/>
    <x v="10"/>
    <x v="10"/>
    <n v="177"/>
    <n v="8194.8032940380417"/>
  </r>
  <r>
    <x v="14"/>
    <x v="11"/>
    <x v="11"/>
    <n v="23"/>
    <n v="10006.267259552043"/>
  </r>
  <r>
    <x v="14"/>
    <x v="12"/>
    <x v="12"/>
    <n v="198"/>
    <n v="7479.9714487953115"/>
  </r>
  <r>
    <x v="14"/>
    <x v="13"/>
    <x v="13"/>
    <n v="66"/>
    <n v="11176.066712580347"/>
  </r>
  <r>
    <x v="14"/>
    <x v="14"/>
    <x v="14"/>
    <n v="298"/>
    <n v="7835.1991995699973"/>
  </r>
  <r>
    <x v="14"/>
    <x v="15"/>
    <x v="15"/>
    <n v="1231"/>
    <n v="5482.2363506540451"/>
  </r>
  <r>
    <x v="14"/>
    <x v="16"/>
    <x v="16"/>
    <n v="300"/>
    <n v="7494.6286458633922"/>
  </r>
  <r>
    <x v="14"/>
    <x v="17"/>
    <x v="17"/>
    <n v="68"/>
    <n v="11095.247216386555"/>
  </r>
  <r>
    <x v="14"/>
    <x v="18"/>
    <x v="18"/>
    <n v="273"/>
    <n v="6455.7923589637894"/>
  </r>
  <r>
    <x v="14"/>
    <x v="19"/>
    <x v="19"/>
    <n v="882"/>
    <n v="4498.4333835193502"/>
  </r>
  <r>
    <x v="14"/>
    <x v="63"/>
    <x v="63"/>
    <n v="23"/>
    <n v="10097.365993788819"/>
  </r>
  <r>
    <x v="14"/>
    <x v="45"/>
    <x v="45"/>
    <n v="12"/>
    <n v="9878.0888888888876"/>
  </r>
  <r>
    <x v="14"/>
    <x v="46"/>
    <x v="46"/>
    <n v="43"/>
    <n v="13974.878359173126"/>
  </r>
  <r>
    <x v="14"/>
    <x v="20"/>
    <x v="20"/>
    <n v="149"/>
    <n v="15909.100183038445"/>
  </r>
  <r>
    <x v="14"/>
    <x v="21"/>
    <x v="21"/>
    <n v="122"/>
    <n v="12649.364706491142"/>
  </r>
  <r>
    <x v="14"/>
    <x v="22"/>
    <x v="22"/>
    <n v="74"/>
    <n v="10402.495799208302"/>
  </r>
  <r>
    <x v="14"/>
    <x v="23"/>
    <x v="23"/>
    <n v="181"/>
    <n v="8044.746428571425"/>
  </r>
  <r>
    <x v="14"/>
    <x v="24"/>
    <x v="24"/>
    <n v="57"/>
    <n v="9125.9233702944202"/>
  </r>
  <r>
    <x v="14"/>
    <x v="25"/>
    <x v="25"/>
    <n v="91"/>
    <n v="10327.459160284159"/>
  </r>
  <r>
    <x v="14"/>
    <x v="47"/>
    <x v="47"/>
    <n v="28"/>
    <n v="13899.532884972168"/>
  </r>
  <r>
    <x v="14"/>
    <x v="48"/>
    <x v="48"/>
    <n v="59"/>
    <n v="5988.399812898966"/>
  </r>
  <r>
    <x v="14"/>
    <x v="49"/>
    <x v="49"/>
    <n v="31"/>
    <n v="6816.3792196155091"/>
  </r>
  <r>
    <x v="14"/>
    <x v="58"/>
    <x v="58"/>
    <n v="10"/>
    <n v="9073.3466666666682"/>
  </r>
  <r>
    <x v="14"/>
    <x v="50"/>
    <x v="50"/>
    <n v="18"/>
    <n v="8391.3033509700163"/>
  </r>
  <r>
    <x v="14"/>
    <x v="26"/>
    <x v="26"/>
    <n v="147"/>
    <n v="4831.9016430092952"/>
  </r>
  <r>
    <x v="14"/>
    <x v="51"/>
    <x v="51"/>
    <n v="31"/>
    <n v="8319.3284690220189"/>
  </r>
  <r>
    <x v="14"/>
    <x v="52"/>
    <x v="52"/>
    <n v="182"/>
    <n v="6369.1913887699593"/>
  </r>
  <r>
    <x v="14"/>
    <x v="27"/>
    <x v="27"/>
    <n v="205"/>
    <n v="4933.8773827121377"/>
  </r>
  <r>
    <x v="14"/>
    <x v="38"/>
    <x v="38"/>
    <n v="351"/>
    <n v="5730.2908800047708"/>
  </r>
  <r>
    <x v="14"/>
    <x v="28"/>
    <x v="28"/>
    <n v="576"/>
    <n v="8629.7978075021128"/>
  </r>
  <r>
    <x v="14"/>
    <x v="29"/>
    <x v="29"/>
    <n v="569"/>
    <n v="15021.016207391507"/>
  </r>
  <r>
    <x v="14"/>
    <x v="30"/>
    <x v="30"/>
    <n v="2793"/>
    <n v="8290.0467153247191"/>
  </r>
  <r>
    <x v="14"/>
    <x v="31"/>
    <x v="31"/>
    <n v="416"/>
    <n v="11517.285563915242"/>
  </r>
  <r>
    <x v="14"/>
    <x v="39"/>
    <x v="39"/>
    <n v="67"/>
    <n v="6293.0177489177495"/>
  </r>
  <r>
    <x v="14"/>
    <x v="32"/>
    <x v="32"/>
    <n v="1401"/>
    <n v="4067.0091229157069"/>
  </r>
  <r>
    <x v="14"/>
    <x v="53"/>
    <x v="53"/>
    <n v="60"/>
    <n v="4587.7434355459363"/>
  </r>
  <r>
    <x v="14"/>
    <x v="54"/>
    <x v="54"/>
    <n v="14"/>
    <n v="8177.0857142857139"/>
  </r>
  <r>
    <x v="14"/>
    <x v="33"/>
    <x v="33"/>
    <n v="120"/>
    <n v="4097.2989505170754"/>
  </r>
  <r>
    <x v="14"/>
    <x v="34"/>
    <x v="34"/>
    <n v="750"/>
    <n v="4665.7408271765262"/>
  </r>
  <r>
    <x v="14"/>
    <x v="64"/>
    <x v="64"/>
    <n v="11"/>
    <n v="6399.2310606060601"/>
  </r>
  <r>
    <x v="14"/>
    <x v="35"/>
    <x v="35"/>
    <n v="54"/>
    <n v="5309.3673106728656"/>
  </r>
  <r>
    <x v="15"/>
    <x v="0"/>
    <x v="0"/>
    <n v="113"/>
    <n v="6995.8011196031084"/>
  </r>
  <r>
    <x v="15"/>
    <x v="2"/>
    <x v="2"/>
    <n v="62"/>
    <n v="8302.2632151003127"/>
  </r>
  <r>
    <x v="15"/>
    <x v="3"/>
    <x v="3"/>
    <n v="123"/>
    <n v="9379.0191573106204"/>
  </r>
  <r>
    <x v="15"/>
    <x v="5"/>
    <x v="5"/>
    <n v="10"/>
    <n v="11472.783333333335"/>
  </r>
  <r>
    <x v="15"/>
    <x v="6"/>
    <x v="6"/>
    <n v="75"/>
    <n v="10411.189050505051"/>
  </r>
  <r>
    <x v="15"/>
    <x v="7"/>
    <x v="7"/>
    <n v="41"/>
    <n v="11682.222160630698"/>
  </r>
  <r>
    <x v="15"/>
    <x v="40"/>
    <x v="40"/>
    <n v="125"/>
    <n v="9249.9785572871588"/>
  </r>
  <r>
    <x v="15"/>
    <x v="36"/>
    <x v="36"/>
    <n v="90"/>
    <n v="11221.385493827158"/>
  </r>
  <r>
    <x v="15"/>
    <x v="41"/>
    <x v="41"/>
    <n v="17"/>
    <n v="16812.259803921566"/>
  </r>
  <r>
    <x v="15"/>
    <x v="8"/>
    <x v="8"/>
    <n v="90"/>
    <n v="12155.216358024692"/>
  </r>
  <r>
    <x v="15"/>
    <x v="10"/>
    <x v="10"/>
    <n v="27"/>
    <n v="9872.2915544332209"/>
  </r>
  <r>
    <x v="15"/>
    <x v="12"/>
    <x v="12"/>
    <n v="65"/>
    <n v="9755.1577677877649"/>
  </r>
  <r>
    <x v="15"/>
    <x v="13"/>
    <x v="13"/>
    <n v="47"/>
    <n v="10619.469604863221"/>
  </r>
  <r>
    <x v="15"/>
    <x v="14"/>
    <x v="14"/>
    <n v="86"/>
    <n v="7546.0656779589926"/>
  </r>
  <r>
    <x v="15"/>
    <x v="15"/>
    <x v="15"/>
    <n v="233"/>
    <n v="6320.9325658485568"/>
  </r>
  <r>
    <x v="15"/>
    <x v="16"/>
    <x v="16"/>
    <n v="77"/>
    <n v="8865.3389394876376"/>
  </r>
  <r>
    <x v="15"/>
    <x v="17"/>
    <x v="17"/>
    <n v="22"/>
    <n v="9782.410146923783"/>
  </r>
  <r>
    <x v="15"/>
    <x v="18"/>
    <x v="18"/>
    <n v="162"/>
    <n v="7604.268009682366"/>
  </r>
  <r>
    <x v="15"/>
    <x v="19"/>
    <x v="19"/>
    <n v="232"/>
    <n v="4793.0952477359806"/>
  </r>
  <r>
    <x v="15"/>
    <x v="46"/>
    <x v="46"/>
    <n v="13"/>
    <n v="12235.059440559438"/>
  </r>
  <r>
    <x v="15"/>
    <x v="20"/>
    <x v="20"/>
    <n v="90"/>
    <n v="17659.392210598045"/>
  </r>
  <r>
    <x v="15"/>
    <x v="21"/>
    <x v="21"/>
    <n v="43"/>
    <n v="10698.005520319472"/>
  </r>
  <r>
    <x v="15"/>
    <x v="22"/>
    <x v="22"/>
    <n v="13"/>
    <n v="7143.333333333333"/>
  </r>
  <r>
    <x v="15"/>
    <x v="23"/>
    <x v="23"/>
    <n v="52"/>
    <n v="8064.3919358419353"/>
  </r>
  <r>
    <x v="15"/>
    <x v="24"/>
    <x v="24"/>
    <n v="47"/>
    <n v="8319.4425048355915"/>
  </r>
  <r>
    <x v="15"/>
    <x v="25"/>
    <x v="25"/>
    <n v="48"/>
    <n v="12678.673938041129"/>
  </r>
  <r>
    <x v="15"/>
    <x v="47"/>
    <x v="47"/>
    <n v="71"/>
    <n v="13978.204331036728"/>
  </r>
  <r>
    <x v="15"/>
    <x v="48"/>
    <x v="48"/>
    <n v="21"/>
    <n v="10243.918145743148"/>
  </r>
  <r>
    <x v="15"/>
    <x v="49"/>
    <x v="49"/>
    <n v="24"/>
    <n v="6274.7205627705634"/>
  </r>
  <r>
    <x v="15"/>
    <x v="50"/>
    <x v="50"/>
    <n v="15"/>
    <n v="7898.4137518037505"/>
  </r>
  <r>
    <x v="15"/>
    <x v="26"/>
    <x v="26"/>
    <n v="88"/>
    <n v="5526.4570149547435"/>
  </r>
  <r>
    <x v="15"/>
    <x v="51"/>
    <x v="51"/>
    <n v="18"/>
    <n v="6474.1617123617125"/>
  </r>
  <r>
    <x v="15"/>
    <x v="52"/>
    <x v="52"/>
    <n v="49"/>
    <n v="7133.6671150278271"/>
  </r>
  <r>
    <x v="15"/>
    <x v="27"/>
    <x v="27"/>
    <n v="102"/>
    <n v="6531.9954414594104"/>
  </r>
  <r>
    <x v="15"/>
    <x v="38"/>
    <x v="38"/>
    <n v="29"/>
    <n v="6585.0297059262575"/>
  </r>
  <r>
    <x v="15"/>
    <x v="28"/>
    <x v="28"/>
    <n v="293"/>
    <n v="8153.5472048618767"/>
  </r>
  <r>
    <x v="15"/>
    <x v="29"/>
    <x v="29"/>
    <n v="34"/>
    <n v="17338.976931075464"/>
  </r>
  <r>
    <x v="15"/>
    <x v="30"/>
    <x v="30"/>
    <n v="491"/>
    <n v="10341.478680314936"/>
  </r>
  <r>
    <x v="15"/>
    <x v="31"/>
    <x v="31"/>
    <n v="63"/>
    <n v="11497.222998694426"/>
  </r>
  <r>
    <x v="15"/>
    <x v="39"/>
    <x v="39"/>
    <n v="23"/>
    <n v="10044.595703933748"/>
  </r>
  <r>
    <x v="15"/>
    <x v="32"/>
    <x v="32"/>
    <n v="217"/>
    <n v="3866.9233513542276"/>
  </r>
  <r>
    <x v="15"/>
    <x v="53"/>
    <x v="53"/>
    <n v="11"/>
    <n v="6275.2967532467528"/>
  </r>
  <r>
    <x v="15"/>
    <x v="54"/>
    <x v="54"/>
    <n v="31"/>
    <n v="7303.6415607689796"/>
  </r>
  <r>
    <x v="15"/>
    <x v="33"/>
    <x v="33"/>
    <n v="71"/>
    <n v="4857.476910960715"/>
  </r>
  <r>
    <x v="15"/>
    <x v="34"/>
    <x v="34"/>
    <n v="191"/>
    <n v="5137.5720820773204"/>
  </r>
  <r>
    <x v="15"/>
    <x v="35"/>
    <x v="35"/>
    <n v="13"/>
    <n v="5225.0677655677655"/>
  </r>
  <r>
    <x v="16"/>
    <x v="0"/>
    <x v="0"/>
    <n v="195"/>
    <n v="7046.5987734487726"/>
  </r>
  <r>
    <x v="16"/>
    <x v="1"/>
    <x v="1"/>
    <n v="10"/>
    <n v="9391.3289682539671"/>
  </r>
  <r>
    <x v="16"/>
    <x v="56"/>
    <x v="56"/>
    <n v="26"/>
    <n v="17261.151709401707"/>
  </r>
  <r>
    <x v="16"/>
    <x v="2"/>
    <x v="2"/>
    <n v="338"/>
    <n v="9683.7907898725189"/>
  </r>
  <r>
    <x v="16"/>
    <x v="3"/>
    <x v="3"/>
    <n v="89"/>
    <n v="11526.435367722164"/>
  </r>
  <r>
    <x v="16"/>
    <x v="4"/>
    <x v="4"/>
    <n v="213"/>
    <n v="11334.58172740145"/>
  </r>
  <r>
    <x v="16"/>
    <x v="57"/>
    <x v="57"/>
    <n v="65"/>
    <n v="13805.342246642247"/>
  </r>
  <r>
    <x v="16"/>
    <x v="62"/>
    <x v="62"/>
    <n v="12"/>
    <n v="7808.4103535353534"/>
  </r>
  <r>
    <x v="16"/>
    <x v="5"/>
    <x v="5"/>
    <n v="154"/>
    <n v="13476.524318322367"/>
  </r>
  <r>
    <x v="16"/>
    <x v="6"/>
    <x v="6"/>
    <n v="345"/>
    <n v="10421.992458330724"/>
  </r>
  <r>
    <x v="16"/>
    <x v="7"/>
    <x v="7"/>
    <n v="211"/>
    <n v="13690.041894571978"/>
  </r>
  <r>
    <x v="16"/>
    <x v="40"/>
    <x v="40"/>
    <n v="390"/>
    <n v="12358.952426277416"/>
  </r>
  <r>
    <x v="16"/>
    <x v="36"/>
    <x v="36"/>
    <n v="183"/>
    <n v="10292.665857442498"/>
  </r>
  <r>
    <x v="16"/>
    <x v="41"/>
    <x v="41"/>
    <n v="18"/>
    <n v="13256.772867564532"/>
  </r>
  <r>
    <x v="16"/>
    <x v="37"/>
    <x v="37"/>
    <n v="19"/>
    <n v="14211.600877192983"/>
  </r>
  <r>
    <x v="16"/>
    <x v="8"/>
    <x v="8"/>
    <n v="334"/>
    <n v="11110.758323828528"/>
  </r>
  <r>
    <x v="16"/>
    <x v="43"/>
    <x v="43"/>
    <n v="12"/>
    <n v="14357.15376984127"/>
  </r>
  <r>
    <x v="16"/>
    <x v="44"/>
    <x v="44"/>
    <n v="26"/>
    <n v="14016.672918747918"/>
  </r>
  <r>
    <x v="16"/>
    <x v="59"/>
    <x v="59"/>
    <n v="20"/>
    <n v="7963.1872546897548"/>
  </r>
  <r>
    <x v="16"/>
    <x v="10"/>
    <x v="10"/>
    <n v="76"/>
    <n v="11792.993658388397"/>
  </r>
  <r>
    <x v="16"/>
    <x v="11"/>
    <x v="11"/>
    <n v="33"/>
    <n v="18285.485221260216"/>
  </r>
  <r>
    <x v="16"/>
    <x v="12"/>
    <x v="12"/>
    <n v="124"/>
    <n v="8465.7397305427548"/>
  </r>
  <r>
    <x v="16"/>
    <x v="13"/>
    <x v="13"/>
    <n v="242"/>
    <n v="10820.495140901334"/>
  </r>
  <r>
    <x v="16"/>
    <x v="14"/>
    <x v="14"/>
    <n v="322"/>
    <n v="10523.807124595549"/>
  </r>
  <r>
    <x v="16"/>
    <x v="15"/>
    <x v="15"/>
    <n v="1150"/>
    <n v="7258.7946530836271"/>
  </r>
  <r>
    <x v="16"/>
    <x v="16"/>
    <x v="16"/>
    <n v="291"/>
    <n v="11448.622520864023"/>
  </r>
  <r>
    <x v="16"/>
    <x v="17"/>
    <x v="17"/>
    <n v="63"/>
    <n v="10772.774791566457"/>
  </r>
  <r>
    <x v="16"/>
    <x v="18"/>
    <x v="18"/>
    <n v="301"/>
    <n v="6669.9555801249371"/>
  </r>
  <r>
    <x v="16"/>
    <x v="19"/>
    <x v="19"/>
    <n v="880"/>
    <n v="5191.3436508756349"/>
  </r>
  <r>
    <x v="16"/>
    <x v="46"/>
    <x v="46"/>
    <n v="113"/>
    <n v="8311.9227821834011"/>
  </r>
  <r>
    <x v="16"/>
    <x v="20"/>
    <x v="20"/>
    <n v="213"/>
    <n v="20366.029665874037"/>
  </r>
  <r>
    <x v="16"/>
    <x v="21"/>
    <x v="21"/>
    <n v="184"/>
    <n v="13496.638915945159"/>
  </r>
  <r>
    <x v="16"/>
    <x v="22"/>
    <x v="22"/>
    <n v="73"/>
    <n v="10606.611943802014"/>
  </r>
  <r>
    <x v="16"/>
    <x v="23"/>
    <x v="23"/>
    <n v="90"/>
    <n v="9097.5220065736739"/>
  </r>
  <r>
    <x v="16"/>
    <x v="24"/>
    <x v="24"/>
    <n v="93"/>
    <n v="9900.069293162036"/>
  </r>
  <r>
    <x v="16"/>
    <x v="25"/>
    <x v="25"/>
    <n v="74"/>
    <n v="11422.409241059238"/>
  </r>
  <r>
    <x v="16"/>
    <x v="47"/>
    <x v="47"/>
    <n v="106"/>
    <n v="15129.756057202756"/>
  </r>
  <r>
    <x v="16"/>
    <x v="48"/>
    <x v="48"/>
    <n v="93"/>
    <n v="6343.2925832829069"/>
  </r>
  <r>
    <x v="16"/>
    <x v="49"/>
    <x v="49"/>
    <n v="25"/>
    <n v="8484.6064920634908"/>
  </r>
  <r>
    <x v="16"/>
    <x v="58"/>
    <x v="58"/>
    <n v="19"/>
    <n v="9452.4010138983831"/>
  </r>
  <r>
    <x v="16"/>
    <x v="50"/>
    <x v="50"/>
    <n v="30"/>
    <n v="8195.7953607503605"/>
  </r>
  <r>
    <x v="16"/>
    <x v="26"/>
    <x v="26"/>
    <n v="101"/>
    <n v="5441.6719346934697"/>
  </r>
  <r>
    <x v="16"/>
    <x v="51"/>
    <x v="51"/>
    <n v="34"/>
    <n v="8787.6039640098479"/>
  </r>
  <r>
    <x v="16"/>
    <x v="52"/>
    <x v="52"/>
    <n v="163"/>
    <n v="7325.58765525545"/>
  </r>
  <r>
    <x v="16"/>
    <x v="27"/>
    <x v="27"/>
    <n v="230"/>
    <n v="5344.0875779534472"/>
  </r>
  <r>
    <x v="16"/>
    <x v="38"/>
    <x v="38"/>
    <n v="203"/>
    <n v="7124.8722487009445"/>
  </r>
  <r>
    <x v="16"/>
    <x v="28"/>
    <x v="28"/>
    <n v="584"/>
    <n v="9550.5395948229925"/>
  </r>
  <r>
    <x v="16"/>
    <x v="29"/>
    <x v="29"/>
    <n v="113"/>
    <n v="16657.348704171931"/>
  </r>
  <r>
    <x v="16"/>
    <x v="30"/>
    <x v="30"/>
    <n v="1114"/>
    <n v="9771.6609376983342"/>
  </r>
  <r>
    <x v="16"/>
    <x v="31"/>
    <x v="31"/>
    <n v="192"/>
    <n v="11032.029688251563"/>
  </r>
  <r>
    <x v="16"/>
    <x v="39"/>
    <x v="39"/>
    <n v="33"/>
    <n v="8814.6989658489656"/>
  </r>
  <r>
    <x v="16"/>
    <x v="32"/>
    <x v="32"/>
    <n v="829"/>
    <n v="4172.2585745878596"/>
  </r>
  <r>
    <x v="16"/>
    <x v="53"/>
    <x v="53"/>
    <n v="18"/>
    <n v="5426.4711700336693"/>
  </r>
  <r>
    <x v="16"/>
    <x v="54"/>
    <x v="54"/>
    <n v="40"/>
    <n v="8612.85929112554"/>
  </r>
  <r>
    <x v="16"/>
    <x v="33"/>
    <x v="33"/>
    <n v="233"/>
    <n v="6132.519769274596"/>
  </r>
  <r>
    <x v="16"/>
    <x v="34"/>
    <x v="34"/>
    <n v="258"/>
    <n v="6213.0312855856455"/>
  </r>
  <r>
    <x v="16"/>
    <x v="64"/>
    <x v="64"/>
    <n v="10"/>
    <n v="7795.5238888888898"/>
  </r>
  <r>
    <x v="16"/>
    <x v="35"/>
    <x v="35"/>
    <n v="46"/>
    <n v="7402.9306331953094"/>
  </r>
  <r>
    <x v="17"/>
    <x v="0"/>
    <x v="0"/>
    <n v="53"/>
    <n v="8040.4829882381764"/>
  </r>
  <r>
    <x v="17"/>
    <x v="2"/>
    <x v="2"/>
    <n v="18"/>
    <n v="17761.364197530864"/>
  </r>
  <r>
    <x v="17"/>
    <x v="3"/>
    <x v="3"/>
    <n v="14"/>
    <n v="14841.125"/>
  </r>
  <r>
    <x v="17"/>
    <x v="40"/>
    <x v="40"/>
    <n v="10"/>
    <n v="22156.356666666667"/>
  </r>
  <r>
    <x v="17"/>
    <x v="10"/>
    <x v="10"/>
    <n v="24"/>
    <n v="13182.817117604622"/>
  </r>
  <r>
    <x v="17"/>
    <x v="12"/>
    <x v="12"/>
    <n v="28"/>
    <n v="13565.689393939396"/>
  </r>
  <r>
    <x v="17"/>
    <x v="13"/>
    <x v="13"/>
    <n v="12"/>
    <n v="15877.340277777779"/>
  </r>
  <r>
    <x v="17"/>
    <x v="14"/>
    <x v="14"/>
    <n v="46"/>
    <n v="15398.926935504109"/>
  </r>
  <r>
    <x v="17"/>
    <x v="15"/>
    <x v="15"/>
    <n v="96"/>
    <n v="7352.3962061087032"/>
  </r>
  <r>
    <x v="17"/>
    <x v="16"/>
    <x v="16"/>
    <n v="29"/>
    <n v="12042.324939045631"/>
  </r>
  <r>
    <x v="17"/>
    <x v="18"/>
    <x v="18"/>
    <n v="56"/>
    <n v="7981.2967416512047"/>
  </r>
  <r>
    <x v="17"/>
    <x v="19"/>
    <x v="19"/>
    <n v="180"/>
    <n v="5229.8728493265999"/>
  </r>
  <r>
    <x v="17"/>
    <x v="20"/>
    <x v="20"/>
    <n v="44"/>
    <n v="22847.384218811498"/>
  </r>
  <r>
    <x v="17"/>
    <x v="21"/>
    <x v="21"/>
    <n v="28"/>
    <n v="21876.401573129253"/>
  </r>
  <r>
    <x v="17"/>
    <x v="22"/>
    <x v="22"/>
    <n v="16"/>
    <n v="10297.24449179293"/>
  </r>
  <r>
    <x v="17"/>
    <x v="23"/>
    <x v="23"/>
    <n v="28"/>
    <n v="12986.855555555556"/>
  </r>
  <r>
    <x v="17"/>
    <x v="25"/>
    <x v="25"/>
    <n v="16"/>
    <n v="16572.06889204546"/>
  </r>
  <r>
    <x v="17"/>
    <x v="47"/>
    <x v="47"/>
    <n v="24"/>
    <n v="20094.596311327561"/>
  </r>
  <r>
    <x v="17"/>
    <x v="26"/>
    <x v="26"/>
    <n v="15"/>
    <n v="9032.6444444444442"/>
  </r>
  <r>
    <x v="17"/>
    <x v="51"/>
    <x v="51"/>
    <n v="10"/>
    <n v="6965.3097619047621"/>
  </r>
  <r>
    <x v="17"/>
    <x v="52"/>
    <x v="52"/>
    <n v="14"/>
    <n v="7534.2876417233556"/>
  </r>
  <r>
    <x v="17"/>
    <x v="27"/>
    <x v="27"/>
    <n v="14"/>
    <n v="11865.871820243246"/>
  </r>
  <r>
    <x v="17"/>
    <x v="38"/>
    <x v="38"/>
    <n v="19"/>
    <n v="8064.3239766081861"/>
  </r>
  <r>
    <x v="17"/>
    <x v="28"/>
    <x v="28"/>
    <n v="96"/>
    <n v="8981.4554108796328"/>
  </r>
  <r>
    <x v="17"/>
    <x v="29"/>
    <x v="29"/>
    <n v="61"/>
    <n v="29103.676933267096"/>
  </r>
  <r>
    <x v="17"/>
    <x v="30"/>
    <x v="30"/>
    <n v="182"/>
    <n v="12380.686547975836"/>
  </r>
  <r>
    <x v="17"/>
    <x v="31"/>
    <x v="31"/>
    <n v="58"/>
    <n v="13555.236352440661"/>
  </r>
  <r>
    <x v="17"/>
    <x v="32"/>
    <x v="32"/>
    <n v="63"/>
    <n v="5122.1216644907117"/>
  </r>
  <r>
    <x v="17"/>
    <x v="53"/>
    <x v="53"/>
    <n v="18"/>
    <n v="6123.121188071189"/>
  </r>
  <r>
    <x v="17"/>
    <x v="54"/>
    <x v="54"/>
    <n v="12"/>
    <n v="11848.700487012988"/>
  </r>
  <r>
    <x v="17"/>
    <x v="33"/>
    <x v="33"/>
    <n v="14"/>
    <n v="10892.87564935065"/>
  </r>
  <r>
    <x v="17"/>
    <x v="34"/>
    <x v="34"/>
    <n v="68"/>
    <n v="6819.2250806383163"/>
  </r>
  <r>
    <x v="18"/>
    <x v="65"/>
    <x v="6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x v="0"/>
    <x v="0"/>
    <n v="34"/>
    <n v="15437.083333333334"/>
  </r>
  <r>
    <x v="0"/>
    <x v="1"/>
    <n v="304"/>
    <n v="5914.704422277282"/>
  </r>
  <r>
    <x v="0"/>
    <x v="2"/>
    <n v="209"/>
    <n v="9482.736053805309"/>
  </r>
  <r>
    <x v="0"/>
    <x v="3"/>
    <n v="10"/>
    <n v="12726.852777777776"/>
  </r>
  <r>
    <x v="0"/>
    <x v="4"/>
    <n v="609"/>
    <n v="7869.6313275850216"/>
  </r>
  <r>
    <x v="0"/>
    <x v="5"/>
    <n v="304"/>
    <n v="5697.2622897205138"/>
  </r>
  <r>
    <x v="0"/>
    <x v="6"/>
    <n v="91"/>
    <n v="6585.4043155257441"/>
  </r>
  <r>
    <x v="0"/>
    <x v="7"/>
    <n v="244"/>
    <n v="5456.5749062640443"/>
  </r>
  <r>
    <x v="0"/>
    <x v="8"/>
    <n v="36"/>
    <n v="12609.03958333333"/>
  </r>
  <r>
    <x v="0"/>
    <x v="9"/>
    <n v="16"/>
    <n v="9562.96875"/>
  </r>
  <r>
    <x v="0"/>
    <x v="10"/>
    <n v="22"/>
    <n v="9488.7939393939396"/>
  </r>
  <r>
    <x v="0"/>
    <x v="11"/>
    <n v="163"/>
    <n v="7013.536713763403"/>
  </r>
  <r>
    <x v="0"/>
    <x v="12"/>
    <n v="179"/>
    <n v="4063.8821480970923"/>
  </r>
  <r>
    <x v="0"/>
    <x v="13"/>
    <n v="146"/>
    <n v="11637.595812577827"/>
  </r>
  <r>
    <x v="0"/>
    <x v="14"/>
    <n v="235"/>
    <n v="13280.966762303899"/>
  </r>
  <r>
    <x v="0"/>
    <x v="15"/>
    <n v="307"/>
    <n v="7232.5658607950072"/>
  </r>
  <r>
    <x v="0"/>
    <x v="16"/>
    <n v="46"/>
    <n v="5218.7697361816918"/>
  </r>
  <r>
    <x v="0"/>
    <x v="17"/>
    <n v="57"/>
    <n v="4865.5959317485649"/>
  </r>
  <r>
    <x v="1"/>
    <x v="0"/>
    <n v="54"/>
    <n v="15310.517391304345"/>
  </r>
  <r>
    <x v="1"/>
    <x v="1"/>
    <n v="105"/>
    <n v="8753.9290479626216"/>
  </r>
  <r>
    <x v="1"/>
    <x v="2"/>
    <n v="287"/>
    <n v="10683.525802575272"/>
  </r>
  <r>
    <x v="1"/>
    <x v="4"/>
    <n v="101"/>
    <n v="9054.6679914420001"/>
  </r>
  <r>
    <x v="1"/>
    <x v="5"/>
    <n v="165"/>
    <n v="9149.2864650837419"/>
  </r>
  <r>
    <x v="1"/>
    <x v="6"/>
    <n v="38"/>
    <n v="10737.705169172928"/>
  </r>
  <r>
    <x v="1"/>
    <x v="7"/>
    <n v="115"/>
    <n v="6385.2259545768238"/>
  </r>
  <r>
    <x v="1"/>
    <x v="8"/>
    <n v="30"/>
    <n v="25598.272330447333"/>
  </r>
  <r>
    <x v="1"/>
    <x v="9"/>
    <n v="24"/>
    <n v="12804.95567279942"/>
  </r>
  <r>
    <x v="1"/>
    <x v="11"/>
    <n v="97"/>
    <n v="10958.159063387931"/>
  </r>
  <r>
    <x v="1"/>
    <x v="12"/>
    <n v="98"/>
    <n v="6979.3262582089119"/>
  </r>
  <r>
    <x v="1"/>
    <x v="13"/>
    <n v="166"/>
    <n v="15457.577306846431"/>
  </r>
  <r>
    <x v="1"/>
    <x v="14"/>
    <n v="126"/>
    <n v="14027.574349790419"/>
  </r>
  <r>
    <x v="1"/>
    <x v="15"/>
    <n v="176"/>
    <n v="10190.069309982948"/>
  </r>
  <r>
    <x v="1"/>
    <x v="16"/>
    <n v="20"/>
    <n v="5643.9676677489178"/>
  </r>
  <r>
    <x v="1"/>
    <x v="17"/>
    <n v="41"/>
    <n v="9952.8495934959337"/>
  </r>
  <r>
    <x v="2"/>
    <x v="0"/>
    <n v="407"/>
    <n v="20226.219032429563"/>
  </r>
  <r>
    <x v="2"/>
    <x v="1"/>
    <n v="1335"/>
    <n v="7903.82639052374"/>
  </r>
  <r>
    <x v="2"/>
    <x v="2"/>
    <n v="819"/>
    <n v="14438.120049086703"/>
  </r>
  <r>
    <x v="2"/>
    <x v="18"/>
    <n v="16"/>
    <n v="15563.890625000002"/>
  </r>
  <r>
    <x v="2"/>
    <x v="3"/>
    <n v="60"/>
    <n v="18870.505513468019"/>
  </r>
  <r>
    <x v="2"/>
    <x v="4"/>
    <n v="236"/>
    <n v="13229.37165159464"/>
  </r>
  <r>
    <x v="2"/>
    <x v="5"/>
    <n v="527"/>
    <n v="11395.744200681243"/>
  </r>
  <r>
    <x v="2"/>
    <x v="6"/>
    <n v="94"/>
    <n v="15577.066999017523"/>
  </r>
  <r>
    <x v="2"/>
    <x v="7"/>
    <n v="791"/>
    <n v="5944.6240070015674"/>
  </r>
  <r>
    <x v="2"/>
    <x v="8"/>
    <n v="332"/>
    <n v="21517.797790947327"/>
  </r>
  <r>
    <x v="2"/>
    <x v="9"/>
    <n v="104"/>
    <n v="15832.498224345092"/>
  </r>
  <r>
    <x v="2"/>
    <x v="10"/>
    <n v="38"/>
    <n v="13172.282414369256"/>
  </r>
  <r>
    <x v="2"/>
    <x v="11"/>
    <n v="620"/>
    <n v="15071.8632505353"/>
  </r>
  <r>
    <x v="2"/>
    <x v="12"/>
    <n v="337"/>
    <n v="9076.3163999040917"/>
  </r>
  <r>
    <x v="2"/>
    <x v="13"/>
    <n v="814"/>
    <n v="9680.9243666482325"/>
  </r>
  <r>
    <x v="2"/>
    <x v="14"/>
    <n v="1609"/>
    <n v="12011.99764978649"/>
  </r>
  <r>
    <x v="2"/>
    <x v="15"/>
    <n v="516"/>
    <n v="8671.8652860974034"/>
  </r>
  <r>
    <x v="2"/>
    <x v="16"/>
    <n v="316"/>
    <n v="7529.0335093703743"/>
  </r>
  <r>
    <x v="2"/>
    <x v="17"/>
    <n v="372"/>
    <n v="6943.2378235116103"/>
  </r>
  <r>
    <x v="3"/>
    <x v="0"/>
    <n v="182"/>
    <n v="22645.845345708909"/>
  </r>
  <r>
    <x v="3"/>
    <x v="1"/>
    <n v="1132"/>
    <n v="8420.7174685395094"/>
  </r>
  <r>
    <x v="3"/>
    <x v="19"/>
    <n v="42"/>
    <n v="18159.5376984127"/>
  </r>
  <r>
    <x v="3"/>
    <x v="2"/>
    <n v="1135"/>
    <n v="17727.338673900733"/>
  </r>
  <r>
    <x v="3"/>
    <x v="3"/>
    <n v="41"/>
    <n v="24447.722241579559"/>
  </r>
  <r>
    <x v="3"/>
    <x v="4"/>
    <n v="173"/>
    <n v="12315.380541375776"/>
  </r>
  <r>
    <x v="3"/>
    <x v="5"/>
    <n v="547"/>
    <n v="11298.048050760937"/>
  </r>
  <r>
    <x v="3"/>
    <x v="6"/>
    <n v="99"/>
    <n v="15571.46986276911"/>
  </r>
  <r>
    <x v="3"/>
    <x v="7"/>
    <n v="852"/>
    <n v="6120.6407407407405"/>
  </r>
  <r>
    <x v="3"/>
    <x v="8"/>
    <n v="381"/>
    <n v="22351.0638288585"/>
  </r>
  <r>
    <x v="3"/>
    <x v="9"/>
    <n v="119"/>
    <n v="18382.499594383215"/>
  </r>
  <r>
    <x v="3"/>
    <x v="10"/>
    <n v="27"/>
    <n v="18965.567012719788"/>
  </r>
  <r>
    <x v="3"/>
    <x v="11"/>
    <n v="883"/>
    <n v="12708.4574019192"/>
  </r>
  <r>
    <x v="3"/>
    <x v="12"/>
    <n v="256"/>
    <n v="7970.2662857650148"/>
  </r>
  <r>
    <x v="3"/>
    <x v="13"/>
    <n v="512"/>
    <n v="13537.117276419342"/>
  </r>
  <r>
    <x v="3"/>
    <x v="14"/>
    <n v="1217"/>
    <n v="11494.037124206014"/>
  </r>
  <r>
    <x v="3"/>
    <x v="15"/>
    <n v="584"/>
    <n v="8768.7240009562374"/>
  </r>
  <r>
    <x v="3"/>
    <x v="16"/>
    <n v="316"/>
    <n v="7632.1787800016455"/>
  </r>
  <r>
    <x v="3"/>
    <x v="17"/>
    <n v="280"/>
    <n v="8505.2855815811108"/>
  </r>
  <r>
    <x v="4"/>
    <x v="0"/>
    <n v="139"/>
    <n v="19306.924903412"/>
  </r>
  <r>
    <x v="4"/>
    <x v="1"/>
    <n v="94"/>
    <n v="7353.0271330324558"/>
  </r>
  <r>
    <x v="4"/>
    <x v="2"/>
    <n v="638"/>
    <n v="11046.156746992994"/>
  </r>
  <r>
    <x v="4"/>
    <x v="18"/>
    <n v="15"/>
    <n v="27614.116666666665"/>
  </r>
  <r>
    <x v="4"/>
    <x v="3"/>
    <n v="69"/>
    <n v="10907.398711232408"/>
  </r>
  <r>
    <x v="4"/>
    <x v="4"/>
    <n v="148"/>
    <n v="10242.724628524629"/>
  </r>
  <r>
    <x v="4"/>
    <x v="5"/>
    <n v="681"/>
    <n v="7519.3133400821644"/>
  </r>
  <r>
    <x v="4"/>
    <x v="6"/>
    <n v="150"/>
    <n v="9473.514302789803"/>
  </r>
  <r>
    <x v="4"/>
    <x v="7"/>
    <n v="390"/>
    <n v="5493.6295890220908"/>
  </r>
  <r>
    <x v="4"/>
    <x v="8"/>
    <n v="86"/>
    <n v="15920.020806486797"/>
  </r>
  <r>
    <x v="4"/>
    <x v="9"/>
    <n v="73"/>
    <n v="17107.334610784954"/>
  </r>
  <r>
    <x v="4"/>
    <x v="10"/>
    <n v="37"/>
    <n v="12592.009491634491"/>
  </r>
  <r>
    <x v="4"/>
    <x v="11"/>
    <n v="212"/>
    <n v="8092.6501252416338"/>
  </r>
  <r>
    <x v="4"/>
    <x v="12"/>
    <n v="315"/>
    <n v="6509.4427873977893"/>
  </r>
  <r>
    <x v="4"/>
    <x v="13"/>
    <n v="430"/>
    <n v="9209.8597326252584"/>
  </r>
  <r>
    <x v="4"/>
    <x v="14"/>
    <n v="645"/>
    <n v="9111.6216693513197"/>
  </r>
  <r>
    <x v="4"/>
    <x v="15"/>
    <n v="472"/>
    <n v="5600.4233949666141"/>
  </r>
  <r>
    <x v="4"/>
    <x v="16"/>
    <n v="127"/>
    <n v="5231.6063017690967"/>
  </r>
  <r>
    <x v="4"/>
    <x v="17"/>
    <n v="198"/>
    <n v="5488.410766029705"/>
  </r>
  <r>
    <x v="5"/>
    <x v="0"/>
    <n v="27"/>
    <n v="16456.933333333334"/>
  </r>
  <r>
    <x v="5"/>
    <x v="1"/>
    <n v="263"/>
    <n v="7412.0312188972839"/>
  </r>
  <r>
    <x v="5"/>
    <x v="2"/>
    <n v="508"/>
    <n v="9481.0003780777351"/>
  </r>
  <r>
    <x v="5"/>
    <x v="3"/>
    <n v="42"/>
    <n v="10043.263482615268"/>
  </r>
  <r>
    <x v="5"/>
    <x v="4"/>
    <n v="148"/>
    <n v="7326.1086992024475"/>
  </r>
  <r>
    <x v="5"/>
    <x v="5"/>
    <n v="430"/>
    <n v="7236.4764490419075"/>
  </r>
  <r>
    <x v="5"/>
    <x v="6"/>
    <n v="343"/>
    <n v="9728.1361257304434"/>
  </r>
  <r>
    <x v="5"/>
    <x v="7"/>
    <n v="589"/>
    <n v="5976.9328787511349"/>
  </r>
  <r>
    <x v="5"/>
    <x v="9"/>
    <n v="13"/>
    <n v="12106.210683760686"/>
  </r>
  <r>
    <x v="5"/>
    <x v="11"/>
    <n v="46"/>
    <n v="6505.4815429136088"/>
  </r>
  <r>
    <x v="5"/>
    <x v="12"/>
    <n v="438"/>
    <n v="4925.9282373638571"/>
  </r>
  <r>
    <x v="5"/>
    <x v="13"/>
    <n v="188"/>
    <n v="10603.447474747478"/>
  </r>
  <r>
    <x v="5"/>
    <x v="14"/>
    <n v="138"/>
    <n v="12402.329789091744"/>
  </r>
  <r>
    <x v="5"/>
    <x v="15"/>
    <n v="186"/>
    <n v="5961.9059000139623"/>
  </r>
  <r>
    <x v="5"/>
    <x v="16"/>
    <n v="63"/>
    <n v="6012.0651492246716"/>
  </r>
  <r>
    <x v="5"/>
    <x v="17"/>
    <n v="26"/>
    <n v="5201.9275349650334"/>
  </r>
  <r>
    <x v="6"/>
    <x v="0"/>
    <n v="70"/>
    <n v="31419.714285714283"/>
  </r>
  <r>
    <x v="6"/>
    <x v="1"/>
    <n v="63"/>
    <n v="10128.076197347626"/>
  </r>
  <r>
    <x v="6"/>
    <x v="2"/>
    <n v="81"/>
    <n v="19582.062031247231"/>
  </r>
  <r>
    <x v="6"/>
    <x v="4"/>
    <n v="24"/>
    <n v="16365.68983585859"/>
  </r>
  <r>
    <x v="6"/>
    <x v="5"/>
    <n v="72"/>
    <n v="13057.511088564213"/>
  </r>
  <r>
    <x v="6"/>
    <x v="6"/>
    <n v="14"/>
    <n v="16988.669495980212"/>
  </r>
  <r>
    <x v="6"/>
    <x v="7"/>
    <n v="113"/>
    <n v="6604.6215195571376"/>
  </r>
  <r>
    <x v="6"/>
    <x v="8"/>
    <n v="33"/>
    <n v="20671.131228956223"/>
  </r>
  <r>
    <x v="6"/>
    <x v="9"/>
    <n v="11"/>
    <n v="14012.07070707071"/>
  </r>
  <r>
    <x v="6"/>
    <x v="11"/>
    <n v="63"/>
    <n v="13120.332936507937"/>
  </r>
  <r>
    <x v="6"/>
    <x v="12"/>
    <n v="47"/>
    <n v="9074.0184826993373"/>
  </r>
  <r>
    <x v="6"/>
    <x v="13"/>
    <n v="50"/>
    <n v="19164.784979797987"/>
  </r>
  <r>
    <x v="6"/>
    <x v="14"/>
    <n v="113"/>
    <n v="12355.836028106602"/>
  </r>
  <r>
    <x v="6"/>
    <x v="15"/>
    <n v="54"/>
    <n v="8811.067086205976"/>
  </r>
  <r>
    <x v="6"/>
    <x v="16"/>
    <n v="39"/>
    <n v="11022.318945868945"/>
  </r>
  <r>
    <x v="6"/>
    <x v="17"/>
    <n v="39"/>
    <n v="7249.2900284900279"/>
  </r>
  <r>
    <x v="7"/>
    <x v="0"/>
    <n v="333"/>
    <n v="21899.434647584214"/>
  </r>
  <r>
    <x v="7"/>
    <x v="1"/>
    <n v="250"/>
    <n v="10336.095893073591"/>
  </r>
  <r>
    <x v="7"/>
    <x v="2"/>
    <n v="424"/>
    <n v="16164.33855340807"/>
  </r>
  <r>
    <x v="7"/>
    <x v="3"/>
    <n v="30"/>
    <n v="16283.298922558923"/>
  </r>
  <r>
    <x v="7"/>
    <x v="4"/>
    <n v="135"/>
    <n v="11930.476696328366"/>
  </r>
  <r>
    <x v="7"/>
    <x v="5"/>
    <n v="385"/>
    <n v="10701.567242555428"/>
  </r>
  <r>
    <x v="7"/>
    <x v="6"/>
    <n v="117"/>
    <n v="13066.502754344419"/>
  </r>
  <r>
    <x v="7"/>
    <x v="7"/>
    <n v="414"/>
    <n v="6240.0622628981318"/>
  </r>
  <r>
    <x v="7"/>
    <x v="8"/>
    <n v="120"/>
    <n v="19396.001287277544"/>
  </r>
  <r>
    <x v="7"/>
    <x v="9"/>
    <n v="68"/>
    <n v="17209.7939171123"/>
  </r>
  <r>
    <x v="7"/>
    <x v="10"/>
    <n v="19"/>
    <n v="12716.51134654819"/>
  </r>
  <r>
    <x v="7"/>
    <x v="11"/>
    <n v="266"/>
    <n v="13841.933492416101"/>
  </r>
  <r>
    <x v="7"/>
    <x v="12"/>
    <n v="149"/>
    <n v="8611.9161412785561"/>
  </r>
  <r>
    <x v="7"/>
    <x v="13"/>
    <n v="328"/>
    <n v="13102.746687145849"/>
  </r>
  <r>
    <x v="7"/>
    <x v="14"/>
    <n v="477"/>
    <n v="12015.843904982743"/>
  </r>
  <r>
    <x v="7"/>
    <x v="15"/>
    <n v="277"/>
    <n v="9822.0944655424792"/>
  </r>
  <r>
    <x v="7"/>
    <x v="16"/>
    <n v="155"/>
    <n v="7573.1065160824828"/>
  </r>
  <r>
    <x v="7"/>
    <x v="17"/>
    <n v="105"/>
    <n v="8616.7586686593841"/>
  </r>
  <r>
    <x v="8"/>
    <x v="0"/>
    <n v="67"/>
    <n v="14226.379166666668"/>
  </r>
  <r>
    <x v="8"/>
    <x v="1"/>
    <n v="161"/>
    <n v="6527.6856714886226"/>
  </r>
  <r>
    <x v="8"/>
    <x v="2"/>
    <n v="220"/>
    <n v="8175.4169098452048"/>
  </r>
  <r>
    <x v="8"/>
    <x v="4"/>
    <n v="1140"/>
    <n v="7031.4896252310045"/>
  </r>
  <r>
    <x v="8"/>
    <x v="5"/>
    <n v="610"/>
    <n v="5291.9995673952599"/>
  </r>
  <r>
    <x v="8"/>
    <x v="6"/>
    <n v="160"/>
    <n v="6244.3752051767651"/>
  </r>
  <r>
    <x v="8"/>
    <x v="7"/>
    <n v="363"/>
    <n v="4738.7713803720026"/>
  </r>
  <r>
    <x v="8"/>
    <x v="8"/>
    <n v="90"/>
    <n v="15068.087752525249"/>
  </r>
  <r>
    <x v="8"/>
    <x v="9"/>
    <n v="77"/>
    <n v="7334.9983583516059"/>
  </r>
  <r>
    <x v="8"/>
    <x v="10"/>
    <n v="35"/>
    <n v="7089.7302886002899"/>
  </r>
  <r>
    <x v="8"/>
    <x v="11"/>
    <n v="258"/>
    <n v="7918.3716892065704"/>
  </r>
  <r>
    <x v="8"/>
    <x v="12"/>
    <n v="301"/>
    <n v="4238.0588249605698"/>
  </r>
  <r>
    <x v="8"/>
    <x v="13"/>
    <n v="242"/>
    <n v="12690.911977806409"/>
  </r>
  <r>
    <x v="8"/>
    <x v="14"/>
    <n v="411"/>
    <n v="11806.897905014701"/>
  </r>
  <r>
    <x v="8"/>
    <x v="15"/>
    <n v="501"/>
    <n v="7420.0699445265327"/>
  </r>
  <r>
    <x v="8"/>
    <x v="16"/>
    <n v="177"/>
    <n v="6119.6068915547748"/>
  </r>
  <r>
    <x v="8"/>
    <x v="17"/>
    <n v="42"/>
    <n v="5130.5196127946128"/>
  </r>
  <r>
    <x v="9"/>
    <x v="0"/>
    <n v="74"/>
    <n v="19350.75641025641"/>
  </r>
  <r>
    <x v="9"/>
    <x v="1"/>
    <n v="60"/>
    <n v="8515.4064905002397"/>
  </r>
  <r>
    <x v="9"/>
    <x v="2"/>
    <n v="87"/>
    <n v="15794.813950672564"/>
  </r>
  <r>
    <x v="9"/>
    <x v="4"/>
    <n v="19"/>
    <n v="9831.3964076858811"/>
  </r>
  <r>
    <x v="9"/>
    <x v="5"/>
    <n v="77"/>
    <n v="9068.5986071288044"/>
  </r>
  <r>
    <x v="9"/>
    <x v="6"/>
    <n v="21"/>
    <n v="14408.859668109668"/>
  </r>
  <r>
    <x v="9"/>
    <x v="7"/>
    <n v="127"/>
    <n v="6180.8877086386947"/>
  </r>
  <r>
    <x v="9"/>
    <x v="8"/>
    <n v="40"/>
    <n v="21579.194375901872"/>
  </r>
  <r>
    <x v="9"/>
    <x v="9"/>
    <n v="11"/>
    <n v="22313.839761248852"/>
  </r>
  <r>
    <x v="9"/>
    <x v="11"/>
    <n v="85"/>
    <n v="11060.984783125368"/>
  </r>
  <r>
    <x v="9"/>
    <x v="12"/>
    <n v="38"/>
    <n v="7793.7120072909547"/>
  </r>
  <r>
    <x v="9"/>
    <x v="13"/>
    <n v="60"/>
    <n v="12903.207845719095"/>
  </r>
  <r>
    <x v="9"/>
    <x v="14"/>
    <n v="144"/>
    <n v="11140.562569394337"/>
  </r>
  <r>
    <x v="9"/>
    <x v="15"/>
    <n v="76"/>
    <n v="10345.508393616617"/>
  </r>
  <r>
    <x v="9"/>
    <x v="16"/>
    <n v="54"/>
    <n v="4683.1990313184742"/>
  </r>
  <r>
    <x v="9"/>
    <x v="17"/>
    <n v="45"/>
    <n v="6827.8131569664902"/>
  </r>
  <r>
    <x v="10"/>
    <x v="0"/>
    <n v="32"/>
    <n v="9845.4"/>
  </r>
  <r>
    <x v="10"/>
    <x v="1"/>
    <n v="125"/>
    <n v="6644.891424819627"/>
  </r>
  <r>
    <x v="10"/>
    <x v="2"/>
    <n v="72"/>
    <n v="9168.3749378707726"/>
  </r>
  <r>
    <x v="10"/>
    <x v="3"/>
    <n v="11"/>
    <n v="8825.6962121212109"/>
  </r>
  <r>
    <x v="10"/>
    <x v="4"/>
    <n v="415"/>
    <n v="5864.9368812914026"/>
  </r>
  <r>
    <x v="10"/>
    <x v="5"/>
    <n v="211"/>
    <n v="5265.7241465090974"/>
  </r>
  <r>
    <x v="10"/>
    <x v="6"/>
    <n v="69"/>
    <n v="5562.7779424681567"/>
  </r>
  <r>
    <x v="10"/>
    <x v="7"/>
    <n v="110"/>
    <n v="4900.0959084350015"/>
  </r>
  <r>
    <x v="10"/>
    <x v="8"/>
    <n v="15"/>
    <n v="18766.000072150069"/>
  </r>
  <r>
    <x v="10"/>
    <x v="9"/>
    <n v="10"/>
    <n v="9229.9967460317457"/>
  </r>
  <r>
    <x v="10"/>
    <x v="11"/>
    <n v="44"/>
    <n v="8918.580510461763"/>
  </r>
  <r>
    <x v="10"/>
    <x v="12"/>
    <n v="106"/>
    <n v="3370.0070693457483"/>
  </r>
  <r>
    <x v="10"/>
    <x v="13"/>
    <n v="99"/>
    <n v="11221.243104566589"/>
  </r>
  <r>
    <x v="10"/>
    <x v="14"/>
    <n v="127"/>
    <n v="12095.371557248525"/>
  </r>
  <r>
    <x v="10"/>
    <x v="15"/>
    <n v="210"/>
    <n v="7518.8261286332718"/>
  </r>
  <r>
    <x v="10"/>
    <x v="16"/>
    <n v="27"/>
    <n v="6735.4130604991697"/>
  </r>
  <r>
    <x v="10"/>
    <x v="17"/>
    <n v="11"/>
    <n v="4478.4348484848488"/>
  </r>
  <r>
    <x v="11"/>
    <x v="0"/>
    <n v="533"/>
    <n v="19639.185535823606"/>
  </r>
  <r>
    <x v="11"/>
    <x v="1"/>
    <n v="501"/>
    <n v="8464.6352345093383"/>
  </r>
  <r>
    <x v="11"/>
    <x v="19"/>
    <n v="20"/>
    <n v="16193.650357142862"/>
  </r>
  <r>
    <x v="11"/>
    <x v="2"/>
    <n v="831"/>
    <n v="12319.340169400732"/>
  </r>
  <r>
    <x v="11"/>
    <x v="18"/>
    <n v="17"/>
    <n v="27308.107843137259"/>
  </r>
  <r>
    <x v="11"/>
    <x v="3"/>
    <n v="63"/>
    <n v="16295.3905615108"/>
  </r>
  <r>
    <x v="11"/>
    <x v="4"/>
    <n v="262"/>
    <n v="11270.167092957932"/>
  </r>
  <r>
    <x v="11"/>
    <x v="5"/>
    <n v="681"/>
    <n v="8212.5715185206354"/>
  </r>
  <r>
    <x v="11"/>
    <x v="6"/>
    <n v="223"/>
    <n v="11717.250054355214"/>
  </r>
  <r>
    <x v="11"/>
    <x v="7"/>
    <n v="570"/>
    <n v="5020.8118057137826"/>
  </r>
  <r>
    <x v="11"/>
    <x v="8"/>
    <n v="164"/>
    <n v="22659.504406873621"/>
  </r>
  <r>
    <x v="11"/>
    <x v="9"/>
    <n v="106"/>
    <n v="15233.819864412317"/>
  </r>
  <r>
    <x v="11"/>
    <x v="10"/>
    <n v="32"/>
    <n v="13351.018623737375"/>
  </r>
  <r>
    <x v="11"/>
    <x v="11"/>
    <n v="269"/>
    <n v="13640.292989909716"/>
  </r>
  <r>
    <x v="11"/>
    <x v="12"/>
    <n v="408"/>
    <n v="5844.3816671618115"/>
  </r>
  <r>
    <x v="11"/>
    <x v="13"/>
    <n v="678"/>
    <n v="11709.380846337379"/>
  </r>
  <r>
    <x v="11"/>
    <x v="14"/>
    <n v="863"/>
    <n v="10470.028847948121"/>
  </r>
  <r>
    <x v="11"/>
    <x v="15"/>
    <n v="525"/>
    <n v="7991.3618198309605"/>
  </r>
  <r>
    <x v="11"/>
    <x v="16"/>
    <n v="116"/>
    <n v="6717.4959459123229"/>
  </r>
  <r>
    <x v="11"/>
    <x v="17"/>
    <n v="195"/>
    <n v="7403.7476107226139"/>
  </r>
  <r>
    <x v="12"/>
    <x v="0"/>
    <n v="12"/>
    <n v="11717.916666666668"/>
  </r>
  <r>
    <x v="12"/>
    <x v="1"/>
    <n v="105"/>
    <n v="7039.0754627911729"/>
  </r>
  <r>
    <x v="12"/>
    <x v="2"/>
    <n v="264"/>
    <n v="9719.5181201899941"/>
  </r>
  <r>
    <x v="12"/>
    <x v="4"/>
    <n v="77"/>
    <n v="7802.4663419913431"/>
  </r>
  <r>
    <x v="12"/>
    <x v="5"/>
    <n v="121"/>
    <n v="5685.8529310221429"/>
  </r>
  <r>
    <x v="12"/>
    <x v="6"/>
    <n v="61"/>
    <n v="7834.7967479242052"/>
  </r>
  <r>
    <x v="12"/>
    <x v="7"/>
    <n v="153"/>
    <n v="6726.882861528451"/>
  </r>
  <r>
    <x v="12"/>
    <x v="8"/>
    <n v="13"/>
    <n v="12584.333333333334"/>
  </r>
  <r>
    <x v="12"/>
    <x v="11"/>
    <n v="40"/>
    <n v="10103.631051587301"/>
  </r>
  <r>
    <x v="12"/>
    <x v="12"/>
    <n v="215"/>
    <n v="5171.842576932112"/>
  </r>
  <r>
    <x v="12"/>
    <x v="13"/>
    <n v="69"/>
    <n v="14766.594486793403"/>
  </r>
  <r>
    <x v="12"/>
    <x v="14"/>
    <n v="114"/>
    <n v="13214.993088149668"/>
  </r>
  <r>
    <x v="12"/>
    <x v="15"/>
    <n v="82"/>
    <n v="11708.727741262801"/>
  </r>
  <r>
    <x v="12"/>
    <x v="16"/>
    <n v="28"/>
    <n v="9376.6056818181805"/>
  </r>
  <r>
    <x v="13"/>
    <x v="0"/>
    <n v="23"/>
    <n v="19711.458333333332"/>
  </r>
  <r>
    <x v="13"/>
    <x v="1"/>
    <n v="139"/>
    <n v="5924.1884012270693"/>
  </r>
  <r>
    <x v="13"/>
    <x v="2"/>
    <n v="104"/>
    <n v="10501.483927183932"/>
  </r>
  <r>
    <x v="13"/>
    <x v="4"/>
    <n v="145"/>
    <n v="5486.3697534457879"/>
  </r>
  <r>
    <x v="13"/>
    <x v="5"/>
    <n v="86"/>
    <n v="5618.1849210543969"/>
  </r>
  <r>
    <x v="13"/>
    <x v="6"/>
    <n v="63"/>
    <n v="7378.7534546141706"/>
  </r>
  <r>
    <x v="13"/>
    <x v="7"/>
    <n v="64"/>
    <n v="6180.8398922258302"/>
  </r>
  <r>
    <x v="13"/>
    <x v="8"/>
    <n v="12"/>
    <n v="16050.122306397308"/>
  </r>
  <r>
    <x v="13"/>
    <x v="9"/>
    <n v="14"/>
    <n v="7188.8719078540516"/>
  </r>
  <r>
    <x v="13"/>
    <x v="11"/>
    <n v="41"/>
    <n v="8680.6804209340808"/>
  </r>
  <r>
    <x v="13"/>
    <x v="12"/>
    <n v="53"/>
    <n v="6310.0564914645092"/>
  </r>
  <r>
    <x v="13"/>
    <x v="13"/>
    <n v="57"/>
    <n v="12961.743669780508"/>
  </r>
  <r>
    <x v="13"/>
    <x v="14"/>
    <n v="70"/>
    <n v="11681.76281849103"/>
  </r>
  <r>
    <x v="13"/>
    <x v="15"/>
    <n v="119"/>
    <n v="7078.0426567596724"/>
  </r>
  <r>
    <x v="13"/>
    <x v="16"/>
    <n v="62"/>
    <n v="9902.9463680584631"/>
  </r>
  <r>
    <x v="13"/>
    <x v="17"/>
    <n v="10"/>
    <n v="5324.958333333333"/>
  </r>
  <r>
    <x v="14"/>
    <x v="0"/>
    <n v="340"/>
    <n v="16518.170724178457"/>
  </r>
  <r>
    <x v="14"/>
    <x v="1"/>
    <n v="117"/>
    <n v="9506.7849866183169"/>
  </r>
  <r>
    <x v="14"/>
    <x v="2"/>
    <n v="1154"/>
    <n v="9638.5483854701961"/>
  </r>
  <r>
    <x v="14"/>
    <x v="18"/>
    <n v="27"/>
    <n v="24387.812169312165"/>
  </r>
  <r>
    <x v="14"/>
    <x v="3"/>
    <n v="50"/>
    <n v="17979.423505050501"/>
  </r>
  <r>
    <x v="14"/>
    <x v="4"/>
    <n v="398"/>
    <n v="7943.8660223012612"/>
  </r>
  <r>
    <x v="14"/>
    <x v="5"/>
    <n v="1595"/>
    <n v="6157.4562458666278"/>
  </r>
  <r>
    <x v="14"/>
    <x v="6"/>
    <n v="371"/>
    <n v="8164.8045493440331"/>
  </r>
  <r>
    <x v="14"/>
    <x v="7"/>
    <n v="1155"/>
    <n v="4961.0818686244074"/>
  </r>
  <r>
    <x v="14"/>
    <x v="8"/>
    <n v="230"/>
    <n v="14574.163106844848"/>
  </r>
  <r>
    <x v="14"/>
    <x v="9"/>
    <n v="122"/>
    <n v="12649.364706491142"/>
  </r>
  <r>
    <x v="14"/>
    <x v="10"/>
    <n v="74"/>
    <n v="10402.495799208302"/>
  </r>
  <r>
    <x v="14"/>
    <x v="11"/>
    <n v="457"/>
    <n v="8666.5629135209601"/>
  </r>
  <r>
    <x v="14"/>
    <x v="12"/>
    <n v="934"/>
    <n v="5675.8051172091082"/>
  </r>
  <r>
    <x v="14"/>
    <x v="13"/>
    <n v="1145"/>
    <n v="11805.870531988638"/>
  </r>
  <r>
    <x v="14"/>
    <x v="14"/>
    <n v="2793"/>
    <n v="8290.0467153247191"/>
  </r>
  <r>
    <x v="14"/>
    <x v="15"/>
    <n v="1884"/>
    <n v="5791.2435058233259"/>
  </r>
  <r>
    <x v="14"/>
    <x v="16"/>
    <n v="195"/>
    <n v="4558.9667360417343"/>
  </r>
  <r>
    <x v="14"/>
    <x v="17"/>
    <n v="815"/>
    <n v="4731.7828181906707"/>
  </r>
  <r>
    <x v="15"/>
    <x v="0"/>
    <n v="134"/>
    <n v="18495.794999999995"/>
  </r>
  <r>
    <x v="15"/>
    <x v="1"/>
    <n v="121"/>
    <n v="7224.6457893575653"/>
  </r>
  <r>
    <x v="15"/>
    <x v="2"/>
    <n v="664"/>
    <n v="10505.583509307799"/>
  </r>
  <r>
    <x v="15"/>
    <x v="3"/>
    <n v="11"/>
    <n v="15036.550865800866"/>
  </r>
  <r>
    <x v="15"/>
    <x v="4"/>
    <n v="100"/>
    <n v="10060.988321789326"/>
  </r>
  <r>
    <x v="15"/>
    <x v="5"/>
    <n v="366"/>
    <n v="7160.8032993873067"/>
  </r>
  <r>
    <x v="15"/>
    <x v="6"/>
    <n v="99"/>
    <n v="9069.1325411401194"/>
  </r>
  <r>
    <x v="15"/>
    <x v="7"/>
    <n v="394"/>
    <n v="5948.9581600083511"/>
  </r>
  <r>
    <x v="15"/>
    <x v="8"/>
    <n v="110"/>
    <n v="16322.041055686735"/>
  </r>
  <r>
    <x v="15"/>
    <x v="9"/>
    <n v="43"/>
    <n v="10698.005520319472"/>
  </r>
  <r>
    <x v="15"/>
    <x v="10"/>
    <n v="13"/>
    <n v="7143.333333333333"/>
  </r>
  <r>
    <x v="15"/>
    <x v="11"/>
    <n v="268"/>
    <n v="10509.416915288279"/>
  </r>
  <r>
    <x v="15"/>
    <x v="12"/>
    <n v="301"/>
    <n v="6405.709035058705"/>
  </r>
  <r>
    <x v="15"/>
    <x v="13"/>
    <n v="327"/>
    <n v="9108.607176394793"/>
  </r>
  <r>
    <x v="15"/>
    <x v="14"/>
    <n v="491"/>
    <n v="10341.478680314936"/>
  </r>
  <r>
    <x v="15"/>
    <x v="15"/>
    <n v="303"/>
    <n v="5922.3535226141657"/>
  </r>
  <r>
    <x v="15"/>
    <x v="16"/>
    <n v="113"/>
    <n v="5666.5664898032164"/>
  </r>
  <r>
    <x v="15"/>
    <x v="17"/>
    <n v="211"/>
    <n v="5389.5335374735869"/>
  </r>
  <r>
    <x v="16"/>
    <x v="0"/>
    <n v="353"/>
    <n v="18169.846026592451"/>
  </r>
  <r>
    <x v="16"/>
    <x v="1"/>
    <n v="217"/>
    <n v="7632.034410929572"/>
  </r>
  <r>
    <x v="16"/>
    <x v="19"/>
    <n v="27"/>
    <n v="17557.075102880655"/>
  </r>
  <r>
    <x v="16"/>
    <x v="2"/>
    <n v="2388"/>
    <n v="11438.505532140029"/>
  </r>
  <r>
    <x v="16"/>
    <x v="3"/>
    <n v="58"/>
    <n v="11999.708383091998"/>
  </r>
  <r>
    <x v="16"/>
    <x v="4"/>
    <n v="233"/>
    <n v="10941.803677795739"/>
  </r>
  <r>
    <x v="16"/>
    <x v="5"/>
    <n v="1714"/>
    <n v="8375.0522574469578"/>
  </r>
  <r>
    <x v="16"/>
    <x v="6"/>
    <n v="361"/>
    <n v="11323.354238566913"/>
  </r>
  <r>
    <x v="16"/>
    <x v="7"/>
    <n v="1181"/>
    <n v="5568.1956328434981"/>
  </r>
  <r>
    <x v="16"/>
    <x v="8"/>
    <n v="348"/>
    <n v="16024.368606425522"/>
  </r>
  <r>
    <x v="16"/>
    <x v="9"/>
    <n v="184"/>
    <n v="13496.638915945159"/>
  </r>
  <r>
    <x v="16"/>
    <x v="10"/>
    <n v="73"/>
    <n v="10606.611943802014"/>
  </r>
  <r>
    <x v="16"/>
    <x v="11"/>
    <n v="500"/>
    <n v="10340.265685137101"/>
  </r>
  <r>
    <x v="16"/>
    <x v="12"/>
    <n v="761"/>
    <n v="6522.7611803220816"/>
  </r>
  <r>
    <x v="16"/>
    <x v="13"/>
    <n v="697"/>
    <n v="10702.719550858044"/>
  </r>
  <r>
    <x v="16"/>
    <x v="14"/>
    <n v="1114"/>
    <n v="9771.6609376983342"/>
  </r>
  <r>
    <x v="16"/>
    <x v="15"/>
    <n v="1054"/>
    <n v="5567.2078978658928"/>
  </r>
  <r>
    <x v="16"/>
    <x v="16"/>
    <n v="296"/>
    <n v="6425.1928980928988"/>
  </r>
  <r>
    <x v="16"/>
    <x v="17"/>
    <n v="314"/>
    <n v="6437.745604130474"/>
  </r>
  <r>
    <x v="17"/>
    <x v="0"/>
    <n v="129"/>
    <n v="19190.094791666666"/>
  </r>
  <r>
    <x v="17"/>
    <x v="1"/>
    <n v="56"/>
    <n v="7843.6821138682735"/>
  </r>
  <r>
    <x v="17"/>
    <x v="2"/>
    <n v="96"/>
    <n v="19097.792687289566"/>
  </r>
  <r>
    <x v="17"/>
    <x v="3"/>
    <n v="11"/>
    <n v="16290.65"/>
  </r>
  <r>
    <x v="17"/>
    <x v="4"/>
    <n v="61"/>
    <n v="14371.173823717265"/>
  </r>
  <r>
    <x v="17"/>
    <x v="5"/>
    <n v="154"/>
    <n v="10420.186741252974"/>
  </r>
  <r>
    <x v="17"/>
    <x v="6"/>
    <n v="38"/>
    <n v="15147.45662641452"/>
  </r>
  <r>
    <x v="17"/>
    <x v="7"/>
    <n v="236"/>
    <n v="5882.7530949629499"/>
  </r>
  <r>
    <x v="17"/>
    <x v="8"/>
    <n v="49"/>
    <n v="22391.27188355862"/>
  </r>
  <r>
    <x v="17"/>
    <x v="9"/>
    <n v="28"/>
    <n v="21876.401573129253"/>
  </r>
  <r>
    <x v="17"/>
    <x v="10"/>
    <n v="16"/>
    <n v="10297.24449179293"/>
  </r>
  <r>
    <x v="17"/>
    <x v="11"/>
    <n v="85"/>
    <n v="15539.773263305313"/>
  </r>
  <r>
    <x v="17"/>
    <x v="12"/>
    <n v="75"/>
    <n v="8736.6572159692187"/>
  </r>
  <r>
    <x v="17"/>
    <x v="13"/>
    <n v="157"/>
    <n v="16799.643390915517"/>
  </r>
  <r>
    <x v="17"/>
    <x v="14"/>
    <n v="182"/>
    <n v="12380.686547975836"/>
  </r>
  <r>
    <x v="17"/>
    <x v="15"/>
    <n v="126"/>
    <n v="9110.254465860422"/>
  </r>
  <r>
    <x v="17"/>
    <x v="16"/>
    <n v="44"/>
    <n v="9202.2919618260548"/>
  </r>
  <r>
    <x v="17"/>
    <x v="17"/>
    <n v="74"/>
    <n v="6973.12312214812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s v="*"/>
    <x v="0"/>
    <n v="6087"/>
    <n v="20201.097313875951"/>
  </r>
  <r>
    <x v="0"/>
    <s v="A"/>
    <x v="1"/>
    <n v="2539"/>
    <n v="7082.5327962855899"/>
  </r>
  <r>
    <x v="0"/>
    <s v="B"/>
    <x v="2"/>
    <n v="66"/>
    <n v="22314.780578512396"/>
  </r>
  <r>
    <x v="0"/>
    <s v="C"/>
    <x v="3"/>
    <n v="10432"/>
    <n v="15448.77797547471"/>
  </r>
  <r>
    <x v="0"/>
    <s v="D"/>
    <x v="4"/>
    <n v="349"/>
    <n v="27878.830897183037"/>
  </r>
  <r>
    <x v="0"/>
    <s v="E"/>
    <x v="5"/>
    <n v="315"/>
    <n v="16191.560406330897"/>
  </r>
  <r>
    <x v="0"/>
    <s v="F"/>
    <x v="6"/>
    <n v="7167"/>
    <n v="13093.008108658394"/>
  </r>
  <r>
    <x v="0"/>
    <s v="G"/>
    <x v="7"/>
    <n v="21112"/>
    <n v="8465.3973703003485"/>
  </r>
  <r>
    <x v="0"/>
    <s v="H"/>
    <x v="8"/>
    <n v="4361"/>
    <n v="12440.864130511403"/>
  </r>
  <r>
    <x v="0"/>
    <s v="I"/>
    <x v="9"/>
    <n v="9697"/>
    <n v="4588.2312120229863"/>
  </r>
  <r>
    <x v="0"/>
    <s v="J"/>
    <x v="10"/>
    <n v="10280"/>
    <n v="21745.863821644671"/>
  </r>
  <r>
    <x v="0"/>
    <s v="K"/>
    <x v="11"/>
    <n v="4176"/>
    <n v="19166.415390780068"/>
  </r>
  <r>
    <x v="0"/>
    <s v="L"/>
    <x v="12"/>
    <n v="1463"/>
    <n v="11552.951729974264"/>
  </r>
  <r>
    <x v="0"/>
    <s v="M"/>
    <x v="13"/>
    <n v="11439"/>
    <n v="14131.379560633273"/>
  </r>
  <r>
    <x v="0"/>
    <s v="N"/>
    <x v="14"/>
    <n v="11057"/>
    <n v="7452.8232697131189"/>
  </r>
  <r>
    <x v="0"/>
    <s v="O"/>
    <x v="15"/>
    <n v="17420"/>
    <n v="10630.491611286703"/>
  </r>
  <r>
    <x v="0"/>
    <s v="P"/>
    <x v="16"/>
    <n v="41865"/>
    <n v="9107.6989571053109"/>
  </r>
  <r>
    <x v="0"/>
    <s v="Q"/>
    <x v="17"/>
    <n v="19700"/>
    <n v="8961.8851046377531"/>
  </r>
  <r>
    <x v="0"/>
    <s v="R"/>
    <x v="18"/>
    <n v="4036"/>
    <n v="5975.5194321184999"/>
  </r>
  <r>
    <x v="0"/>
    <s v="S"/>
    <x v="19"/>
    <n v="10269"/>
    <n v="5844.9944393365422"/>
  </r>
  <r>
    <x v="0"/>
    <s v="U"/>
    <x v="20"/>
    <n v="61"/>
    <n v="22218.943641331349"/>
  </r>
  <r>
    <x v="1"/>
    <s v="*"/>
    <x v="1"/>
    <n v="13904"/>
    <n v="19219.745023214047"/>
  </r>
  <r>
    <x v="1"/>
    <s v="A"/>
    <x v="1"/>
    <n v="13728"/>
    <n v="9298.6695697137238"/>
  </r>
  <r>
    <x v="1"/>
    <s v="B"/>
    <x v="2"/>
    <n v="2525"/>
    <n v="29879.92707123571"/>
  </r>
  <r>
    <x v="1"/>
    <s v="C"/>
    <x v="3"/>
    <n v="67729"/>
    <n v="14445.404121962247"/>
  </r>
  <r>
    <x v="1"/>
    <s v="D"/>
    <x v="4"/>
    <n v="2978"/>
    <n v="25753.131670732033"/>
  </r>
  <r>
    <x v="1"/>
    <s v="E"/>
    <x v="5"/>
    <n v="3238"/>
    <n v="13878.67953420197"/>
  </r>
  <r>
    <x v="1"/>
    <s v="F"/>
    <x v="6"/>
    <n v="39531"/>
    <n v="11371.465575583685"/>
  </r>
  <r>
    <x v="1"/>
    <s v="G"/>
    <x v="7"/>
    <n v="82322"/>
    <n v="8367.4328067486058"/>
  </r>
  <r>
    <x v="1"/>
    <s v="H"/>
    <x v="8"/>
    <n v="30828"/>
    <n v="11965.404223852194"/>
  </r>
  <r>
    <x v="1"/>
    <s v="I"/>
    <x v="9"/>
    <n v="43533"/>
    <n v="5947.2032508701259"/>
  </r>
  <r>
    <x v="1"/>
    <s v="J"/>
    <x v="10"/>
    <n v="18009"/>
    <n v="19665.652749086399"/>
  </r>
  <r>
    <x v="1"/>
    <s v="K"/>
    <x v="11"/>
    <n v="8958"/>
    <n v="16293.98449268785"/>
  </r>
  <r>
    <x v="1"/>
    <s v="L"/>
    <x v="12"/>
    <n v="4115"/>
    <n v="10846.157636782686"/>
  </r>
  <r>
    <x v="1"/>
    <s v="M"/>
    <x v="13"/>
    <n v="27716"/>
    <n v="12638.144544496805"/>
  </r>
  <r>
    <x v="1"/>
    <s v="N"/>
    <x v="14"/>
    <n v="57599"/>
    <n v="6163.8218103940944"/>
  </r>
  <r>
    <x v="1"/>
    <s v="O"/>
    <x v="15"/>
    <n v="36869"/>
    <n v="11536.024152767444"/>
  </r>
  <r>
    <x v="1"/>
    <s v="P"/>
    <x v="16"/>
    <n v="59122"/>
    <n v="10663.384815064735"/>
  </r>
  <r>
    <x v="1"/>
    <s v="Q"/>
    <x v="17"/>
    <n v="69621"/>
    <n v="8269.8853009537816"/>
  </r>
  <r>
    <x v="1"/>
    <s v="R"/>
    <x v="18"/>
    <n v="8181"/>
    <n v="7019.4053183316901"/>
  </r>
  <r>
    <x v="1"/>
    <s v="S"/>
    <x v="19"/>
    <n v="23730"/>
    <n v="6143.1605139256126"/>
  </r>
  <r>
    <x v="1"/>
    <s v="U"/>
    <x v="20"/>
    <n v="46"/>
    <n v="17448.40231115503"/>
  </r>
  <r>
    <x v="2"/>
    <s v="*"/>
    <x v="1"/>
    <n v="14820"/>
    <n v="19856.79445790096"/>
  </r>
  <r>
    <x v="2"/>
    <s v="A"/>
    <x v="1"/>
    <n v="6338"/>
    <n v="8493.061049291764"/>
  </r>
  <r>
    <x v="2"/>
    <s v="B"/>
    <x v="2"/>
    <n v="409"/>
    <n v="21114.719003429342"/>
  </r>
  <r>
    <x v="2"/>
    <s v="C"/>
    <x v="3"/>
    <n v="52466"/>
    <n v="15981.59334499195"/>
  </r>
  <r>
    <x v="2"/>
    <s v="D"/>
    <x v="4"/>
    <n v="3802"/>
    <n v="30523.102705618257"/>
  </r>
  <r>
    <x v="2"/>
    <s v="E"/>
    <x v="5"/>
    <n v="1691"/>
    <n v="13794.101031221229"/>
  </r>
  <r>
    <x v="2"/>
    <s v="F"/>
    <x v="6"/>
    <n v="30349"/>
    <n v="10656.474528735111"/>
  </r>
  <r>
    <x v="2"/>
    <s v="G"/>
    <x v="7"/>
    <n v="68834"/>
    <n v="9359.7986218584992"/>
  </r>
  <r>
    <x v="2"/>
    <s v="H"/>
    <x v="8"/>
    <n v="19649"/>
    <n v="13797.428358666881"/>
  </r>
  <r>
    <x v="2"/>
    <s v="I"/>
    <x v="9"/>
    <n v="33868"/>
    <n v="5105.2023921430246"/>
  </r>
  <r>
    <x v="2"/>
    <s v="J"/>
    <x v="10"/>
    <n v="23230"/>
    <n v="24356.973139813981"/>
  </r>
  <r>
    <x v="2"/>
    <s v="K"/>
    <x v="11"/>
    <n v="10525"/>
    <n v="17743.833676267215"/>
  </r>
  <r>
    <x v="2"/>
    <s v="L"/>
    <x v="12"/>
    <n v="3763"/>
    <n v="12534.490945501482"/>
  </r>
  <r>
    <x v="2"/>
    <s v="M"/>
    <x v="13"/>
    <n v="33833"/>
    <n v="16279.244975277337"/>
  </r>
  <r>
    <x v="2"/>
    <s v="N"/>
    <x v="14"/>
    <n v="37659"/>
    <n v="6656.3170329893392"/>
  </r>
  <r>
    <x v="2"/>
    <s v="O"/>
    <x v="15"/>
    <n v="36966"/>
    <n v="12899.628508901858"/>
  </r>
  <r>
    <x v="2"/>
    <s v="P"/>
    <x v="16"/>
    <n v="47055"/>
    <n v="11241.57430604143"/>
  </r>
  <r>
    <x v="2"/>
    <s v="Q"/>
    <x v="17"/>
    <n v="62279"/>
    <n v="7998.6005580402243"/>
  </r>
  <r>
    <x v="2"/>
    <s v="R"/>
    <x v="18"/>
    <n v="7610"/>
    <n v="6135.3687178050486"/>
  </r>
  <r>
    <x v="2"/>
    <s v="S"/>
    <x v="19"/>
    <n v="12465"/>
    <n v="6648.8934770170245"/>
  </r>
  <r>
    <x v="2"/>
    <s v="U"/>
    <x v="20"/>
    <n v="64"/>
    <n v="16382.31220012626"/>
  </r>
  <r>
    <x v="3"/>
    <s v="*"/>
    <x v="1"/>
    <n v="11718"/>
    <n v="18229.625532259972"/>
  </r>
  <r>
    <x v="3"/>
    <s v="A"/>
    <x v="1"/>
    <n v="1978"/>
    <n v="9594.2312594747273"/>
  </r>
  <r>
    <x v="3"/>
    <s v="B"/>
    <x v="2"/>
    <n v="190"/>
    <n v="16066.058400926557"/>
  </r>
  <r>
    <x v="3"/>
    <s v="C"/>
    <x v="3"/>
    <n v="18326"/>
    <n v="13431.295419629871"/>
  </r>
  <r>
    <x v="3"/>
    <s v="D"/>
    <x v="4"/>
    <n v="987"/>
    <n v="22878.199597692073"/>
  </r>
  <r>
    <x v="3"/>
    <s v="E"/>
    <x v="5"/>
    <n v="1585"/>
    <n v="10211.798184344572"/>
  </r>
  <r>
    <x v="3"/>
    <s v="F"/>
    <x v="6"/>
    <n v="27576"/>
    <n v="8916.2721435665044"/>
  </r>
  <r>
    <x v="3"/>
    <s v="G"/>
    <x v="7"/>
    <n v="52494"/>
    <n v="7686.4273609288248"/>
  </r>
  <r>
    <x v="3"/>
    <s v="H"/>
    <x v="8"/>
    <n v="18022"/>
    <n v="9744.8237800905554"/>
  </r>
  <r>
    <x v="3"/>
    <s v="I"/>
    <x v="9"/>
    <n v="30571"/>
    <n v="5857.2449053189403"/>
  </r>
  <r>
    <x v="3"/>
    <s v="J"/>
    <x v="10"/>
    <n v="17298"/>
    <n v="19873.731703579262"/>
  </r>
  <r>
    <x v="3"/>
    <s v="K"/>
    <x v="11"/>
    <n v="6730"/>
    <n v="19067.109164340309"/>
  </r>
  <r>
    <x v="3"/>
    <s v="L"/>
    <x v="12"/>
    <n v="3585"/>
    <n v="11589.133630688222"/>
  </r>
  <r>
    <x v="3"/>
    <s v="M"/>
    <x v="13"/>
    <n v="23244"/>
    <n v="12806.090418789139"/>
  </r>
  <r>
    <x v="3"/>
    <s v="N"/>
    <x v="14"/>
    <n v="34891"/>
    <n v="6559.6867021095095"/>
  </r>
  <r>
    <x v="3"/>
    <s v="O"/>
    <x v="15"/>
    <n v="26755"/>
    <n v="13510.56003901166"/>
  </r>
  <r>
    <x v="3"/>
    <s v="P"/>
    <x v="16"/>
    <n v="68613"/>
    <n v="8847.2289277498385"/>
  </r>
  <r>
    <x v="3"/>
    <s v="Q"/>
    <x v="17"/>
    <n v="60496"/>
    <n v="8476.8257714222964"/>
  </r>
  <r>
    <x v="3"/>
    <s v="R"/>
    <x v="18"/>
    <n v="7334"/>
    <n v="7273.3308895472373"/>
  </r>
  <r>
    <x v="3"/>
    <s v="S"/>
    <x v="19"/>
    <n v="20243"/>
    <n v="6293.5425601773841"/>
  </r>
  <r>
    <x v="3"/>
    <s v="U"/>
    <x v="20"/>
    <n v="679"/>
    <n v="19020.572895321835"/>
  </r>
  <r>
    <x v="4"/>
    <s v="*"/>
    <x v="1"/>
    <n v="16629"/>
    <n v="19590.035324354925"/>
  </r>
  <r>
    <x v="4"/>
    <s v="A"/>
    <x v="1"/>
    <n v="15821"/>
    <n v="7379.4047096037712"/>
  </r>
  <r>
    <x v="4"/>
    <s v="B"/>
    <x v="2"/>
    <n v="535"/>
    <n v="16912.906660732817"/>
  </r>
  <r>
    <x v="4"/>
    <s v="C"/>
    <x v="3"/>
    <n v="84699"/>
    <n v="12463.319726305637"/>
  </r>
  <r>
    <x v="4"/>
    <s v="D"/>
    <x v="4"/>
    <n v="1575"/>
    <n v="28054.89095490046"/>
  </r>
  <r>
    <x v="4"/>
    <s v="E"/>
    <x v="5"/>
    <n v="2733"/>
    <n v="12162.72476835682"/>
  </r>
  <r>
    <x v="4"/>
    <s v="F"/>
    <x v="6"/>
    <n v="63610"/>
    <n v="8219.2358950124963"/>
  </r>
  <r>
    <x v="4"/>
    <s v="G"/>
    <x v="7"/>
    <n v="83485"/>
    <n v="7780.7429624662418"/>
  </r>
  <r>
    <x v="4"/>
    <s v="H"/>
    <x v="8"/>
    <n v="24211"/>
    <n v="10637.9088649808"/>
  </r>
  <r>
    <x v="4"/>
    <s v="I"/>
    <x v="9"/>
    <n v="36526"/>
    <n v="5292.8581625719889"/>
  </r>
  <r>
    <x v="4"/>
    <s v="J"/>
    <x v="10"/>
    <n v="12984"/>
    <n v="21035.312210438391"/>
  </r>
  <r>
    <x v="4"/>
    <s v="K"/>
    <x v="11"/>
    <n v="8285"/>
    <n v="14707.372118521154"/>
  </r>
  <r>
    <x v="4"/>
    <s v="L"/>
    <x v="12"/>
    <n v="3153"/>
    <n v="9456.4944253142548"/>
  </r>
  <r>
    <x v="4"/>
    <s v="M"/>
    <x v="13"/>
    <n v="30083"/>
    <n v="12255.112335383887"/>
  </r>
  <r>
    <x v="4"/>
    <s v="N"/>
    <x v="14"/>
    <n v="47736"/>
    <n v="5885.5566795004206"/>
  </r>
  <r>
    <x v="4"/>
    <s v="O"/>
    <x v="15"/>
    <n v="44986"/>
    <n v="12177.888239944699"/>
  </r>
  <r>
    <x v="4"/>
    <s v="P"/>
    <x v="16"/>
    <n v="54990"/>
    <n v="11295.911590740492"/>
  </r>
  <r>
    <x v="4"/>
    <s v="Q"/>
    <x v="17"/>
    <n v="73750"/>
    <n v="7844.968429049678"/>
  </r>
  <r>
    <x v="4"/>
    <s v="R"/>
    <x v="18"/>
    <n v="6987"/>
    <n v="6303.123791024188"/>
  </r>
  <r>
    <x v="4"/>
    <s v="S"/>
    <x v="19"/>
    <n v="15542"/>
    <n v="6253.8448729764978"/>
  </r>
  <r>
    <x v="4"/>
    <s v="U"/>
    <x v="20"/>
    <n v="52"/>
    <n v="15987.164578477083"/>
  </r>
  <r>
    <x v="5"/>
    <s v="*"/>
    <x v="1"/>
    <n v="35584"/>
    <n v="21664.808542042341"/>
  </r>
  <r>
    <x v="5"/>
    <s v="A"/>
    <x v="1"/>
    <n v="8611"/>
    <n v="9834.5934329106694"/>
  </r>
  <r>
    <x v="5"/>
    <s v="B"/>
    <x v="2"/>
    <n v="541"/>
    <n v="26195.454659414328"/>
  </r>
  <r>
    <x v="5"/>
    <s v="C"/>
    <x v="3"/>
    <n v="85331"/>
    <n v="20192.49834793415"/>
  </r>
  <r>
    <x v="5"/>
    <s v="D"/>
    <x v="4"/>
    <n v="2807"/>
    <n v="32673.111847134383"/>
  </r>
  <r>
    <x v="5"/>
    <s v="E"/>
    <x v="5"/>
    <n v="3402"/>
    <n v="15244.7464192717"/>
  </r>
  <r>
    <x v="5"/>
    <s v="F"/>
    <x v="6"/>
    <n v="46724"/>
    <n v="14328.221048281899"/>
  </r>
  <r>
    <x v="5"/>
    <s v="G"/>
    <x v="7"/>
    <n v="174437"/>
    <n v="11319.050858406481"/>
  </r>
  <r>
    <x v="5"/>
    <s v="H"/>
    <x v="8"/>
    <n v="41975"/>
    <n v="13756.646507449979"/>
  </r>
  <r>
    <x v="5"/>
    <s v="I"/>
    <x v="9"/>
    <n v="74696"/>
    <n v="4992.4098701353769"/>
  </r>
  <r>
    <x v="5"/>
    <s v="J"/>
    <x v="10"/>
    <n v="90324"/>
    <n v="29126.390582014243"/>
  </r>
  <r>
    <x v="5"/>
    <s v="K"/>
    <x v="11"/>
    <n v="44948"/>
    <n v="22398.884131456281"/>
  </r>
  <r>
    <x v="5"/>
    <s v="L"/>
    <x v="12"/>
    <n v="9854"/>
    <n v="15996.55524902031"/>
  </r>
  <r>
    <x v="5"/>
    <s v="M"/>
    <x v="13"/>
    <n v="83243"/>
    <n v="18536.830886886637"/>
  </r>
  <r>
    <x v="5"/>
    <s v="N"/>
    <x v="14"/>
    <n v="70615"/>
    <n v="8216.4373540596844"/>
  </r>
  <r>
    <x v="5"/>
    <s v="O"/>
    <x v="15"/>
    <n v="74813"/>
    <n v="12871.757287834231"/>
  </r>
  <r>
    <x v="5"/>
    <s v="P"/>
    <x v="16"/>
    <n v="92742"/>
    <n v="11072.180287357725"/>
  </r>
  <r>
    <x v="5"/>
    <s v="Q"/>
    <x v="17"/>
    <n v="115588"/>
    <n v="9911.6222787436509"/>
  </r>
  <r>
    <x v="5"/>
    <s v="R"/>
    <x v="18"/>
    <n v="22921"/>
    <n v="6581.5360812324398"/>
  </r>
  <r>
    <x v="5"/>
    <s v="S"/>
    <x v="19"/>
    <n v="30006"/>
    <n v="7400.7289641603229"/>
  </r>
  <r>
    <x v="5"/>
    <s v="U"/>
    <x v="20"/>
    <n v="383"/>
    <n v="19083.975593212996"/>
  </r>
  <r>
    <x v="6"/>
    <s v="*"/>
    <x v="1"/>
    <n v="2899"/>
    <n v="19124.368133077031"/>
  </r>
  <r>
    <x v="6"/>
    <s v="A"/>
    <x v="1"/>
    <n v="5040"/>
    <n v="7939.7040061756807"/>
  </r>
  <r>
    <x v="6"/>
    <s v="B"/>
    <x v="2"/>
    <n v="130"/>
    <n v="17832.677319902312"/>
  </r>
  <r>
    <x v="6"/>
    <s v="C"/>
    <x v="3"/>
    <n v="9875"/>
    <n v="12236.242516189024"/>
  </r>
  <r>
    <x v="6"/>
    <s v="D"/>
    <x v="4"/>
    <n v="114"/>
    <n v="22344.183437761072"/>
  </r>
  <r>
    <x v="6"/>
    <s v="E"/>
    <x v="5"/>
    <n v="479"/>
    <n v="15086.191980270938"/>
  </r>
  <r>
    <x v="6"/>
    <s v="F"/>
    <x v="6"/>
    <n v="4406"/>
    <n v="8594.0468541356695"/>
  </r>
  <r>
    <x v="6"/>
    <s v="G"/>
    <x v="7"/>
    <n v="8647"/>
    <n v="7873.3291539275297"/>
  </r>
  <r>
    <x v="6"/>
    <s v="H"/>
    <x v="8"/>
    <n v="2385"/>
    <n v="10064.828741200567"/>
  </r>
  <r>
    <x v="6"/>
    <s v="I"/>
    <x v="9"/>
    <n v="7810"/>
    <n v="5638.7304681440437"/>
  </r>
  <r>
    <x v="6"/>
    <s v="J"/>
    <x v="10"/>
    <n v="2071"/>
    <n v="18955.910744194385"/>
  </r>
  <r>
    <x v="6"/>
    <s v="K"/>
    <x v="11"/>
    <n v="1018"/>
    <n v="14380.111017982228"/>
  </r>
  <r>
    <x v="6"/>
    <s v="L"/>
    <x v="12"/>
    <n v="416"/>
    <n v="11414.499252657064"/>
  </r>
  <r>
    <x v="6"/>
    <s v="M"/>
    <x v="13"/>
    <n v="4359"/>
    <n v="11334.503463426914"/>
  </r>
  <r>
    <x v="6"/>
    <s v="N"/>
    <x v="14"/>
    <n v="4973"/>
    <n v="6188.4993867388839"/>
  </r>
  <r>
    <x v="6"/>
    <s v="O"/>
    <x v="15"/>
    <n v="6085"/>
    <n v="11608.868347650718"/>
  </r>
  <r>
    <x v="6"/>
    <s v="P"/>
    <x v="16"/>
    <n v="10732"/>
    <n v="10469.97869227929"/>
  </r>
  <r>
    <x v="6"/>
    <s v="Q"/>
    <x v="17"/>
    <n v="7375"/>
    <n v="7022.5052718076649"/>
  </r>
  <r>
    <x v="6"/>
    <s v="R"/>
    <x v="18"/>
    <n v="2169"/>
    <n v="6768.9292936943675"/>
  </r>
  <r>
    <x v="6"/>
    <s v="S"/>
    <x v="19"/>
    <n v="2820"/>
    <n v="6201.0555660582631"/>
  </r>
  <r>
    <x v="6"/>
    <s v="U"/>
    <x v="20"/>
    <n v="13"/>
    <n v="13491.191086691086"/>
  </r>
  <r>
    <x v="7"/>
    <s v="*"/>
    <x v="1"/>
    <n v="20646"/>
    <n v="20318.705126552715"/>
  </r>
  <r>
    <x v="7"/>
    <s v="A"/>
    <x v="1"/>
    <n v="1374"/>
    <n v="10053.42974974848"/>
  </r>
  <r>
    <x v="7"/>
    <s v="B"/>
    <x v="2"/>
    <n v="222"/>
    <n v="36565.012180362181"/>
  </r>
  <r>
    <x v="7"/>
    <s v="C"/>
    <x v="3"/>
    <n v="36855"/>
    <n v="19887.931745701873"/>
  </r>
  <r>
    <x v="7"/>
    <s v="D"/>
    <x v="4"/>
    <n v="1456"/>
    <n v="30032.855091758403"/>
  </r>
  <r>
    <x v="7"/>
    <s v="E"/>
    <x v="5"/>
    <n v="1297"/>
    <n v="15550.525522490023"/>
  </r>
  <r>
    <x v="7"/>
    <s v="F"/>
    <x v="6"/>
    <n v="20777"/>
    <n v="15388.597601896463"/>
  </r>
  <r>
    <x v="7"/>
    <s v="G"/>
    <x v="7"/>
    <n v="91943"/>
    <n v="11905.126720181717"/>
  </r>
  <r>
    <x v="7"/>
    <s v="H"/>
    <x v="8"/>
    <n v="17336"/>
    <n v="13884.747231182664"/>
  </r>
  <r>
    <x v="7"/>
    <s v="I"/>
    <x v="9"/>
    <n v="51445"/>
    <n v="6330.1337223624241"/>
  </r>
  <r>
    <x v="7"/>
    <s v="J"/>
    <x v="10"/>
    <n v="88316"/>
    <n v="30425.284072976014"/>
  </r>
  <r>
    <x v="7"/>
    <s v="K"/>
    <x v="11"/>
    <n v="33796"/>
    <n v="24120.993754856849"/>
  </r>
  <r>
    <x v="7"/>
    <s v="L"/>
    <x v="12"/>
    <n v="8990"/>
    <n v="17234.842315258884"/>
  </r>
  <r>
    <x v="7"/>
    <s v="M"/>
    <x v="13"/>
    <n v="69592"/>
    <n v="18890.173182323513"/>
  </r>
  <r>
    <x v="7"/>
    <s v="N"/>
    <x v="14"/>
    <n v="40992"/>
    <n v="8878.0606264821818"/>
  </r>
  <r>
    <x v="7"/>
    <s v="O"/>
    <x v="15"/>
    <n v="40080"/>
    <n v="13873.637294063614"/>
  </r>
  <r>
    <x v="7"/>
    <s v="P"/>
    <x v="16"/>
    <n v="61381"/>
    <n v="9646.8530112627468"/>
  </r>
  <r>
    <x v="7"/>
    <s v="Q"/>
    <x v="17"/>
    <n v="72488"/>
    <n v="9090.3376795520926"/>
  </r>
  <r>
    <x v="7"/>
    <s v="R"/>
    <x v="18"/>
    <n v="15159"/>
    <n v="8300.5438920506349"/>
  </r>
  <r>
    <x v="7"/>
    <s v="S"/>
    <x v="19"/>
    <n v="20041"/>
    <n v="8138.4629984919611"/>
  </r>
  <r>
    <x v="7"/>
    <s v="U"/>
    <x v="20"/>
    <n v="594"/>
    <n v="18552.2562587758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BE0F9-84DB-4B37-AE92-E89CBDD9E179}" name="PivotTable17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4:C6" firstHeaderRow="0" firstDataRow="1" firstDataCol="1"/>
  <pivotFields count="5">
    <pivotField axis="axisRow" showAll="0">
      <items count="20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multipleItemSelectionAllowed="1" showAll="0">
      <items count="67">
        <item x="0"/>
        <item x="61"/>
        <item x="55"/>
        <item x="1"/>
        <item x="56"/>
        <item x="2"/>
        <item x="3"/>
        <item x="4"/>
        <item x="57"/>
        <item x="62"/>
        <item x="5"/>
        <item x="60"/>
        <item x="6"/>
        <item x="7"/>
        <item x="40"/>
        <item x="36"/>
        <item x="41"/>
        <item x="37"/>
        <item x="8"/>
        <item x="9"/>
        <item x="42"/>
        <item x="43"/>
        <item x="44"/>
        <item x="59"/>
        <item x="10"/>
        <item x="11"/>
        <item x="12"/>
        <item x="13"/>
        <item x="14"/>
        <item x="15"/>
        <item x="16"/>
        <item x="17"/>
        <item x="18"/>
        <item x="19"/>
        <item x="63"/>
        <item x="45"/>
        <item x="46"/>
        <item x="20"/>
        <item x="21"/>
        <item x="22"/>
        <item x="23"/>
        <item x="24"/>
        <item x="25"/>
        <item x="47"/>
        <item x="48"/>
        <item x="49"/>
        <item x="58"/>
        <item x="50"/>
        <item x="26"/>
        <item x="51"/>
        <item x="52"/>
        <item x="27"/>
        <item x="38"/>
        <item x="28"/>
        <item x="29"/>
        <item x="30"/>
        <item x="31"/>
        <item x="39"/>
        <item x="32"/>
        <item x="53"/>
        <item x="54"/>
        <item x="33"/>
        <item x="34"/>
        <item x="64"/>
        <item x="35"/>
        <item x="65"/>
        <item t="default"/>
      </items>
    </pivotField>
    <pivotField showAll="0">
      <items count="67">
        <item x="43"/>
        <item x="17"/>
        <item x="59"/>
        <item x="42"/>
        <item x="10"/>
        <item x="1"/>
        <item x="0"/>
        <item x="55"/>
        <item x="62"/>
        <item x="16"/>
        <item x="63"/>
        <item x="54"/>
        <item x="45"/>
        <item x="30"/>
        <item x="61"/>
        <item x="4"/>
        <item x="5"/>
        <item x="41"/>
        <item x="6"/>
        <item x="2"/>
        <item x="57"/>
        <item x="7"/>
        <item x="40"/>
        <item x="3"/>
        <item x="36"/>
        <item x="37"/>
        <item x="60"/>
        <item x="53"/>
        <item x="39"/>
        <item x="47"/>
        <item x="28"/>
        <item x="29"/>
        <item x="15"/>
        <item x="13"/>
        <item x="14"/>
        <item x="56"/>
        <item x="49"/>
        <item x="12"/>
        <item x="11"/>
        <item x="8"/>
        <item x="22"/>
        <item x="33"/>
        <item x="34"/>
        <item x="51"/>
        <item x="48"/>
        <item x="25"/>
        <item x="18"/>
        <item x="44"/>
        <item x="31"/>
        <item x="50"/>
        <item x="19"/>
        <item x="24"/>
        <item x="38"/>
        <item x="32"/>
        <item x="52"/>
        <item x="27"/>
        <item x="26"/>
        <item x="46"/>
        <item x="35"/>
        <item x="58"/>
        <item x="23"/>
        <item x="21"/>
        <item x="64"/>
        <item x="9"/>
        <item x="20"/>
        <item x="65"/>
        <item t="default"/>
      </items>
    </pivotField>
    <pivotField dataField="1" showAll="0"/>
    <pivotField dataField="1" showAll="0"/>
  </pivotFields>
  <rowFields count="1">
    <field x="0"/>
  </rowFields>
  <rowItems count="2"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שכר חודשי ממוצי" fld="4" subtotal="average" baseField="0" baseItem="15"/>
    <dataField name="Sum of מספר שכירי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7F1B0-C734-47B5-8FE8-70876CC6A07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P22" firstHeaderRow="0" firstDataRow="1" firstDataCol="1" rowPageCount="1" colPageCount="1"/>
  <pivotFields count="4">
    <pivotField axis="axisPage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21">
        <item x="0"/>
        <item x="1"/>
        <item x="19"/>
        <item x="2"/>
        <item x="1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numFmtId="165" showAll="0"/>
  </pivotFields>
  <rowFields count="1">
    <field x="1"/>
  </rowFields>
  <rowItems count="19">
    <i>
      <x/>
    </i>
    <i>
      <x v="1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5" hier="-1"/>
  </pageFields>
  <dataFields count="2">
    <dataField name="Sum of מספר שכירים" fld="2" baseField="0" baseItem="0"/>
    <dataField name="Average of שכר חודשי ממוצי" fld="3" subtotal="average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8562B-3327-412E-99A1-6E4C7F5B769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ענף כלכלי">
  <location ref="O2:X25" firstHeaderRow="1" firstDataRow="2" firstDataCol="1"/>
  <pivotFields count="5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22">
        <item x="18"/>
        <item x="4"/>
        <item x="5"/>
        <item x="20"/>
        <item x="6"/>
        <item x="16"/>
        <item x="1"/>
        <item x="2"/>
        <item x="10"/>
        <item x="15"/>
        <item x="7"/>
        <item x="12"/>
        <item x="9"/>
        <item x="17"/>
        <item x="14"/>
        <item x="8"/>
        <item x="19"/>
        <item x="13"/>
        <item x="11"/>
        <item x="3"/>
        <item x="0"/>
        <item t="default"/>
      </items>
    </pivotField>
    <pivotField showAll="0"/>
    <pivotField dataField="1" numFmtId="165"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שכר חודשי ממוצי" fld="4" subtotal="average" baseField="2" baseItem="1" numFmtId="165"/>
  </dataFields>
  <chartFormats count="16">
    <chartFormat chart="0" format="8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0%20info@cbs.gov.i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1713-9D78-4193-997C-670E706695AB}">
  <dimension ref="A9:B68"/>
  <sheetViews>
    <sheetView topLeftCell="A32" workbookViewId="0">
      <selection activeCell="B11" sqref="B11"/>
    </sheetView>
  </sheetViews>
  <sheetFormatPr defaultRowHeight="14.25" x14ac:dyDescent="0.2"/>
  <cols>
    <col min="1" max="1" width="25.5703125" style="13" customWidth="1"/>
    <col min="2" max="2" width="50.5703125" style="13" customWidth="1"/>
    <col min="3" max="16384" width="9.140625" style="7"/>
  </cols>
  <sheetData>
    <row r="9" spans="1:2" ht="15" x14ac:dyDescent="0.2">
      <c r="A9" s="5" t="s">
        <v>52</v>
      </c>
      <c r="B9" s="6"/>
    </row>
    <row r="10" spans="1:2" x14ac:dyDescent="0.2">
      <c r="A10" s="8"/>
      <c r="B10" s="8"/>
    </row>
    <row r="11" spans="1:2" ht="30" x14ac:dyDescent="0.2">
      <c r="A11" s="5" t="s">
        <v>53</v>
      </c>
      <c r="B11" s="8" t="s">
        <v>54</v>
      </c>
    </row>
    <row r="12" spans="1:2" ht="15" x14ac:dyDescent="0.2">
      <c r="A12" s="5"/>
      <c r="B12" s="8"/>
    </row>
    <row r="13" spans="1:2" ht="15" x14ac:dyDescent="0.2">
      <c r="A13" s="5" t="s">
        <v>55</v>
      </c>
      <c r="B13" s="8" t="s">
        <v>56</v>
      </c>
    </row>
    <row r="14" spans="1:2" ht="15" x14ac:dyDescent="0.2">
      <c r="A14" s="5"/>
      <c r="B14" s="8"/>
    </row>
    <row r="15" spans="1:2" x14ac:dyDescent="0.2">
      <c r="A15" s="27" t="s">
        <v>57</v>
      </c>
      <c r="B15" s="8" t="s">
        <v>58</v>
      </c>
    </row>
    <row r="16" spans="1:2" x14ac:dyDescent="0.2">
      <c r="A16" s="28"/>
      <c r="B16" s="9" t="s">
        <v>59</v>
      </c>
    </row>
    <row r="17" spans="1:2" x14ac:dyDescent="0.2">
      <c r="A17" s="8"/>
      <c r="B17" s="8"/>
    </row>
    <row r="18" spans="1:2" ht="15" x14ac:dyDescent="0.2">
      <c r="A18" s="5" t="s">
        <v>60</v>
      </c>
      <c r="B18" s="8" t="s">
        <v>61</v>
      </c>
    </row>
    <row r="19" spans="1:2" x14ac:dyDescent="0.2">
      <c r="A19" s="8"/>
      <c r="B19" s="8"/>
    </row>
    <row r="20" spans="1:2" ht="15" x14ac:dyDescent="0.2">
      <c r="A20" s="10" t="s">
        <v>62</v>
      </c>
      <c r="B20" s="11"/>
    </row>
    <row r="21" spans="1:2" x14ac:dyDescent="0.2">
      <c r="A21" s="12" t="s">
        <v>63</v>
      </c>
      <c r="B21" s="12" t="s">
        <v>64</v>
      </c>
    </row>
    <row r="22" spans="1:2" x14ac:dyDescent="0.2">
      <c r="A22" s="12"/>
      <c r="B22" s="12" t="s">
        <v>65</v>
      </c>
    </row>
    <row r="23" spans="1:2" ht="15" x14ac:dyDescent="0.2">
      <c r="A23" s="10" t="s">
        <v>66</v>
      </c>
      <c r="B23" s="11"/>
    </row>
    <row r="24" spans="1:2" x14ac:dyDescent="0.2">
      <c r="A24" s="12" t="s">
        <v>67</v>
      </c>
      <c r="B24" s="12" t="s">
        <v>68</v>
      </c>
    </row>
    <row r="25" spans="1:2" x14ac:dyDescent="0.2">
      <c r="A25" s="12" t="s">
        <v>69</v>
      </c>
      <c r="B25" s="12" t="s">
        <v>70</v>
      </c>
    </row>
    <row r="26" spans="1:2" ht="15" x14ac:dyDescent="0.2">
      <c r="A26" s="10" t="s">
        <v>71</v>
      </c>
      <c r="B26" s="11"/>
    </row>
    <row r="27" spans="1:2" ht="28.5" x14ac:dyDescent="0.2">
      <c r="A27" s="12" t="s">
        <v>72</v>
      </c>
      <c r="B27" s="12" t="s">
        <v>73</v>
      </c>
    </row>
    <row r="28" spans="1:2" ht="28.5" x14ac:dyDescent="0.2">
      <c r="A28" s="12" t="s">
        <v>74</v>
      </c>
      <c r="B28" s="12" t="s">
        <v>75</v>
      </c>
    </row>
    <row r="29" spans="1:2" x14ac:dyDescent="0.2">
      <c r="A29" s="12" t="s">
        <v>49</v>
      </c>
      <c r="B29" s="12" t="s">
        <v>76</v>
      </c>
    </row>
    <row r="30" spans="1:2" ht="28.5" x14ac:dyDescent="0.2">
      <c r="A30" s="12"/>
      <c r="B30" s="12" t="s">
        <v>77</v>
      </c>
    </row>
    <row r="36" spans="1:2" x14ac:dyDescent="0.2">
      <c r="B36" s="7"/>
    </row>
    <row r="37" spans="1:2" x14ac:dyDescent="0.2">
      <c r="A37" s="7"/>
      <c r="B37" s="7"/>
    </row>
    <row r="38" spans="1:2" x14ac:dyDescent="0.2">
      <c r="B38" s="7"/>
    </row>
    <row r="39" spans="1:2" x14ac:dyDescent="0.2">
      <c r="A39" s="7"/>
      <c r="B39" s="7"/>
    </row>
    <row r="40" spans="1:2" x14ac:dyDescent="0.2">
      <c r="A40" s="7"/>
      <c r="B40" s="7"/>
    </row>
    <row r="41" spans="1:2" x14ac:dyDescent="0.2">
      <c r="A41" s="7"/>
      <c r="B41" s="7"/>
    </row>
    <row r="42" spans="1:2" x14ac:dyDescent="0.2">
      <c r="A42" s="7"/>
      <c r="B42" s="7"/>
    </row>
    <row r="43" spans="1:2" x14ac:dyDescent="0.2">
      <c r="A43" s="7"/>
      <c r="B43" s="7"/>
    </row>
    <row r="44" spans="1:2" x14ac:dyDescent="0.2">
      <c r="A44" s="7"/>
      <c r="B44" s="7"/>
    </row>
    <row r="45" spans="1:2" x14ac:dyDescent="0.2">
      <c r="A45" s="7"/>
      <c r="B45" s="7"/>
    </row>
    <row r="46" spans="1:2" x14ac:dyDescent="0.2">
      <c r="A46" s="7"/>
      <c r="B46" s="7"/>
    </row>
    <row r="47" spans="1:2" x14ac:dyDescent="0.2">
      <c r="A47" s="7"/>
      <c r="B47" s="7"/>
    </row>
    <row r="48" spans="1:2" x14ac:dyDescent="0.2">
      <c r="A48" s="7"/>
      <c r="B48" s="7"/>
    </row>
    <row r="49" s="7" customFormat="1" x14ac:dyDescent="0.2"/>
    <row r="50" s="7" customFormat="1" x14ac:dyDescent="0.2"/>
    <row r="51" s="7" customFormat="1" x14ac:dyDescent="0.2"/>
    <row r="52" s="7" customFormat="1" x14ac:dyDescent="0.2"/>
    <row r="53" s="7" customFormat="1" x14ac:dyDescent="0.2"/>
    <row r="54" s="7" customFormat="1" x14ac:dyDescent="0.2"/>
    <row r="55" s="7" customFormat="1" x14ac:dyDescent="0.2"/>
    <row r="56" s="7" customFormat="1" x14ac:dyDescent="0.2"/>
    <row r="57" s="7" customFormat="1" x14ac:dyDescent="0.2"/>
    <row r="58" s="7" customFormat="1" x14ac:dyDescent="0.2"/>
    <row r="59" s="7" customFormat="1" x14ac:dyDescent="0.2"/>
    <row r="60" s="7" customFormat="1" x14ac:dyDescent="0.2"/>
    <row r="61" s="7" customFormat="1" x14ac:dyDescent="0.2"/>
    <row r="62" s="7" customFormat="1" x14ac:dyDescent="0.2"/>
    <row r="63" s="7" customFormat="1" x14ac:dyDescent="0.2"/>
    <row r="64" s="7" customFormat="1" x14ac:dyDescent="0.2"/>
    <row r="65" s="7" customFormat="1" x14ac:dyDescent="0.2"/>
    <row r="66" s="7" customFormat="1" x14ac:dyDescent="0.2"/>
    <row r="67" s="7" customFormat="1" x14ac:dyDescent="0.2"/>
    <row r="68" s="7" customFormat="1" x14ac:dyDescent="0.2"/>
  </sheetData>
  <mergeCells count="1">
    <mergeCell ref="A15:A16"/>
  </mergeCells>
  <hyperlinks>
    <hyperlink ref="B16" r:id="rId1" tooltip="info@cbs.gov.il" display="mailto:%20%20info@cbs.gov.il" xr:uid="{D79ECA40-2482-444F-975E-81C83752AEB7}"/>
  </hyperlinks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zoomScaleNormal="100" workbookViewId="0">
      <selection activeCell="D21" sqref="D21"/>
    </sheetView>
  </sheetViews>
  <sheetFormatPr defaultRowHeight="14.25" x14ac:dyDescent="0.2"/>
  <cols>
    <col min="1" max="1" width="27.7109375" style="1" bestFit="1" customWidth="1"/>
    <col min="2" max="2" width="9.28515625" style="1" bestFit="1" customWidth="1"/>
    <col min="3" max="3" width="12.85546875" style="1" bestFit="1" customWidth="1"/>
    <col min="4" max="4" width="17.5703125" style="2" bestFit="1" customWidth="1"/>
    <col min="8" max="8" width="27.7109375" style="1" bestFit="1" customWidth="1"/>
  </cols>
  <sheetData>
    <row r="1" spans="1:8" ht="15" x14ac:dyDescent="0.25">
      <c r="A1" s="3" t="s">
        <v>0</v>
      </c>
      <c r="B1" s="3" t="s">
        <v>49</v>
      </c>
      <c r="C1" s="3" t="s">
        <v>50</v>
      </c>
      <c r="D1" s="4" t="s">
        <v>51</v>
      </c>
      <c r="H1" s="3"/>
    </row>
    <row r="2" spans="1:8" x14ac:dyDescent="0.2">
      <c r="A2" s="1" t="s">
        <v>1</v>
      </c>
      <c r="B2" s="1">
        <v>857</v>
      </c>
      <c r="C2" s="1">
        <v>218</v>
      </c>
      <c r="D2" s="2">
        <v>13360.92414048745</v>
      </c>
    </row>
    <row r="3" spans="1:8" x14ac:dyDescent="0.2">
      <c r="A3" s="1" t="s">
        <v>20</v>
      </c>
      <c r="B3" s="1">
        <v>852</v>
      </c>
      <c r="C3" s="1">
        <v>16</v>
      </c>
      <c r="D3" s="2">
        <v>15801.911458333332</v>
      </c>
    </row>
    <row r="4" spans="1:8" x14ac:dyDescent="0.2">
      <c r="A4" s="1" t="s">
        <v>20</v>
      </c>
      <c r="B4" s="1">
        <v>854</v>
      </c>
      <c r="C4" s="1">
        <v>11</v>
      </c>
      <c r="D4" s="2">
        <v>15867.083333333332</v>
      </c>
    </row>
    <row r="5" spans="1:8" x14ac:dyDescent="0.2">
      <c r="A5" s="1" t="s">
        <v>20</v>
      </c>
      <c r="B5" s="1">
        <v>857</v>
      </c>
      <c r="C5" s="1">
        <v>86</v>
      </c>
      <c r="D5" s="2">
        <v>14848.945956659622</v>
      </c>
    </row>
    <row r="6" spans="1:8" x14ac:dyDescent="0.2">
      <c r="A6" s="1" t="s">
        <v>21</v>
      </c>
      <c r="B6" s="1">
        <v>850</v>
      </c>
      <c r="C6" s="1">
        <v>11</v>
      </c>
      <c r="D6" s="2">
        <v>5945.223048668503</v>
      </c>
    </row>
    <row r="7" spans="1:8" x14ac:dyDescent="0.2">
      <c r="A7" s="1" t="s">
        <v>21</v>
      </c>
      <c r="B7" s="1">
        <v>851</v>
      </c>
      <c r="C7" s="1">
        <v>52</v>
      </c>
      <c r="D7" s="2">
        <v>9488.4871399433905</v>
      </c>
    </row>
    <row r="8" spans="1:8" x14ac:dyDescent="0.2">
      <c r="A8" s="1" t="s">
        <v>21</v>
      </c>
      <c r="B8" s="1">
        <v>852</v>
      </c>
      <c r="C8" s="1">
        <v>307</v>
      </c>
      <c r="D8" s="2">
        <v>14508.499919389335</v>
      </c>
    </row>
    <row r="9" spans="1:8" x14ac:dyDescent="0.2">
      <c r="A9" s="1" t="s">
        <v>21</v>
      </c>
      <c r="B9" s="1">
        <v>853</v>
      </c>
      <c r="C9" s="1">
        <v>52</v>
      </c>
      <c r="D9" s="2">
        <v>8023.3834096459095</v>
      </c>
    </row>
    <row r="10" spans="1:8" x14ac:dyDescent="0.2">
      <c r="A10" s="1" t="s">
        <v>21</v>
      </c>
      <c r="B10" s="1">
        <v>854</v>
      </c>
      <c r="C10" s="1">
        <v>116</v>
      </c>
      <c r="D10" s="2">
        <v>10710.802287343875</v>
      </c>
    </row>
    <row r="11" spans="1:8" x14ac:dyDescent="0.2">
      <c r="A11" s="1" t="s">
        <v>21</v>
      </c>
      <c r="B11" s="1">
        <v>855</v>
      </c>
      <c r="C11" s="1">
        <v>34</v>
      </c>
      <c r="D11" s="2">
        <v>11075.198061497327</v>
      </c>
    </row>
    <row r="12" spans="1:8" x14ac:dyDescent="0.2">
      <c r="A12" s="1" t="s">
        <v>21</v>
      </c>
      <c r="B12" s="1">
        <v>856</v>
      </c>
      <c r="C12" s="1">
        <v>40</v>
      </c>
      <c r="D12" s="2">
        <v>9154.8052579365067</v>
      </c>
    </row>
    <row r="13" spans="1:8" x14ac:dyDescent="0.2">
      <c r="A13" s="1" t="s">
        <v>21</v>
      </c>
      <c r="B13" s="1">
        <v>857</v>
      </c>
      <c r="C13" s="1">
        <v>979</v>
      </c>
      <c r="D13" s="2">
        <v>12026.860327188415</v>
      </c>
    </row>
    <row r="14" spans="1:8" x14ac:dyDescent="0.2">
      <c r="A14" s="1" t="s">
        <v>21</v>
      </c>
      <c r="B14" s="1">
        <v>858</v>
      </c>
      <c r="C14" s="1">
        <v>18</v>
      </c>
      <c r="D14" s="2">
        <v>7648.9861712361708</v>
      </c>
    </row>
    <row r="15" spans="1:8" x14ac:dyDescent="0.2">
      <c r="A15" s="1" t="s">
        <v>23</v>
      </c>
      <c r="B15" s="1">
        <v>850</v>
      </c>
      <c r="C15" s="1">
        <v>14</v>
      </c>
      <c r="D15" s="2">
        <v>7296.2065476190483</v>
      </c>
    </row>
    <row r="16" spans="1:8" x14ac:dyDescent="0.2">
      <c r="A16" s="1" t="s">
        <v>23</v>
      </c>
      <c r="B16" s="1">
        <v>852</v>
      </c>
      <c r="C16" s="1">
        <v>210</v>
      </c>
      <c r="D16" s="2">
        <v>15115.516978973405</v>
      </c>
    </row>
    <row r="17" spans="1:8" x14ac:dyDescent="0.2">
      <c r="A17" s="1" t="s">
        <v>23</v>
      </c>
      <c r="B17" s="1">
        <v>853</v>
      </c>
      <c r="C17" s="1">
        <v>17</v>
      </c>
      <c r="D17" s="2">
        <v>9813.4450980392139</v>
      </c>
    </row>
    <row r="18" spans="1:8" x14ac:dyDescent="0.2">
      <c r="A18" s="1" t="s">
        <v>23</v>
      </c>
      <c r="B18" s="1">
        <v>854</v>
      </c>
      <c r="C18" s="1">
        <v>225</v>
      </c>
      <c r="D18" s="2">
        <v>10514.054546576879</v>
      </c>
    </row>
    <row r="19" spans="1:8" x14ac:dyDescent="0.2">
      <c r="A19" s="1" t="s">
        <v>23</v>
      </c>
      <c r="B19" s="1">
        <v>855</v>
      </c>
      <c r="C19" s="1">
        <v>59</v>
      </c>
      <c r="D19" s="2">
        <v>7023.6399558539388</v>
      </c>
    </row>
    <row r="20" spans="1:8" x14ac:dyDescent="0.2">
      <c r="A20" s="1" t="s">
        <v>23</v>
      </c>
      <c r="B20" s="1">
        <v>857</v>
      </c>
      <c r="C20" s="1">
        <v>659</v>
      </c>
      <c r="D20" s="2">
        <v>11485.427819874451</v>
      </c>
      <c r="H20"/>
    </row>
    <row r="21" spans="1:8" x14ac:dyDescent="0.2">
      <c r="A21" s="1" t="s">
        <v>23</v>
      </c>
      <c r="B21" s="1">
        <v>858</v>
      </c>
      <c r="C21" s="1">
        <v>22</v>
      </c>
      <c r="D21" s="2">
        <v>5388.1289321789327</v>
      </c>
      <c r="H21"/>
    </row>
    <row r="22" spans="1:8" x14ac:dyDescent="0.2">
      <c r="A22" s="1" t="s">
        <v>25</v>
      </c>
      <c r="B22" s="1">
        <v>850</v>
      </c>
      <c r="C22" s="1">
        <v>84</v>
      </c>
      <c r="D22" s="2">
        <v>5225.2779087645158</v>
      </c>
      <c r="H22"/>
    </row>
    <row r="23" spans="1:8" x14ac:dyDescent="0.2">
      <c r="A23" s="1" t="s">
        <v>25</v>
      </c>
      <c r="B23" s="1">
        <v>851</v>
      </c>
      <c r="C23" s="1">
        <v>85</v>
      </c>
      <c r="D23" s="2">
        <v>9410.2760606060638</v>
      </c>
      <c r="H23"/>
    </row>
    <row r="24" spans="1:8" x14ac:dyDescent="0.2">
      <c r="A24" s="1" t="s">
        <v>25</v>
      </c>
      <c r="B24" s="1">
        <v>852</v>
      </c>
      <c r="C24" s="1">
        <v>175</v>
      </c>
      <c r="D24" s="2">
        <v>7788.285851370847</v>
      </c>
      <c r="H24"/>
    </row>
    <row r="25" spans="1:8" x14ac:dyDescent="0.2">
      <c r="A25" s="1" t="s">
        <v>25</v>
      </c>
      <c r="B25" s="1">
        <v>854</v>
      </c>
      <c r="C25" s="1">
        <v>22</v>
      </c>
      <c r="D25" s="2">
        <v>7659.2829889807153</v>
      </c>
      <c r="H25"/>
    </row>
    <row r="26" spans="1:8" x14ac:dyDescent="0.2">
      <c r="A26" s="1" t="s">
        <v>25</v>
      </c>
      <c r="B26" s="1">
        <v>856</v>
      </c>
      <c r="C26" s="1">
        <v>29</v>
      </c>
      <c r="D26" s="2">
        <v>5841.3047892720288</v>
      </c>
      <c r="H26"/>
    </row>
    <row r="27" spans="1:8" x14ac:dyDescent="0.2">
      <c r="A27" s="1" t="s">
        <v>25</v>
      </c>
      <c r="B27" s="1">
        <v>857</v>
      </c>
      <c r="C27" s="1">
        <v>236</v>
      </c>
      <c r="D27" s="2">
        <v>12078.375686189978</v>
      </c>
      <c r="H27"/>
    </row>
    <row r="28" spans="1:8" x14ac:dyDescent="0.2">
      <c r="A28" s="1" t="s">
        <v>26</v>
      </c>
      <c r="B28" s="1">
        <v>852</v>
      </c>
      <c r="C28" s="1">
        <v>24</v>
      </c>
      <c r="D28" s="2">
        <v>15127.425925925927</v>
      </c>
      <c r="H28"/>
    </row>
    <row r="29" spans="1:8" x14ac:dyDescent="0.2">
      <c r="A29" s="1" t="s">
        <v>26</v>
      </c>
      <c r="B29" s="1">
        <v>857</v>
      </c>
      <c r="C29" s="1">
        <v>102</v>
      </c>
      <c r="D29" s="2">
        <v>12551.589976091445</v>
      </c>
      <c r="H29"/>
    </row>
    <row r="30" spans="1:8" x14ac:dyDescent="0.2">
      <c r="A30" s="1" t="s">
        <v>27</v>
      </c>
      <c r="B30" s="1">
        <v>852</v>
      </c>
      <c r="C30" s="1">
        <v>14</v>
      </c>
      <c r="D30" s="2">
        <v>16385.809523809523</v>
      </c>
      <c r="H30"/>
    </row>
    <row r="31" spans="1:8" x14ac:dyDescent="0.2">
      <c r="A31" s="1" t="s">
        <v>27</v>
      </c>
      <c r="B31" s="1">
        <v>854</v>
      </c>
      <c r="C31" s="1">
        <v>14</v>
      </c>
      <c r="D31" s="2">
        <v>8118.7555555555564</v>
      </c>
      <c r="H31"/>
    </row>
    <row r="32" spans="1:8" x14ac:dyDescent="0.2">
      <c r="A32" s="1" t="s">
        <v>27</v>
      </c>
      <c r="B32" s="1">
        <v>857</v>
      </c>
      <c r="C32" s="1">
        <v>60</v>
      </c>
      <c r="D32" s="2">
        <v>13330.990462962964</v>
      </c>
      <c r="H32"/>
    </row>
    <row r="33" spans="1:8" x14ac:dyDescent="0.2">
      <c r="A33" s="1" t="s">
        <v>28</v>
      </c>
      <c r="B33" s="1">
        <v>850</v>
      </c>
      <c r="C33" s="1">
        <v>13</v>
      </c>
      <c r="D33" s="2">
        <v>8170.2887945387938</v>
      </c>
      <c r="H33"/>
    </row>
    <row r="34" spans="1:8" x14ac:dyDescent="0.2">
      <c r="A34" s="1" t="s">
        <v>28</v>
      </c>
      <c r="B34" s="1">
        <v>852</v>
      </c>
      <c r="C34" s="1">
        <v>76</v>
      </c>
      <c r="D34" s="2">
        <v>15218.94587083238</v>
      </c>
      <c r="H34"/>
    </row>
    <row r="35" spans="1:8" x14ac:dyDescent="0.2">
      <c r="A35" s="1" t="s">
        <v>28</v>
      </c>
      <c r="B35" s="1">
        <v>853</v>
      </c>
      <c r="C35" s="1">
        <v>12</v>
      </c>
      <c r="D35" s="2">
        <v>8908.9375</v>
      </c>
      <c r="H35"/>
    </row>
    <row r="36" spans="1:8" x14ac:dyDescent="0.2">
      <c r="A36" s="1" t="s">
        <v>28</v>
      </c>
      <c r="B36" s="1">
        <v>854</v>
      </c>
      <c r="C36" s="1">
        <v>70</v>
      </c>
      <c r="D36" s="2">
        <v>10221.428270459697</v>
      </c>
      <c r="H36"/>
    </row>
    <row r="37" spans="1:8" x14ac:dyDescent="0.2">
      <c r="A37" s="1" t="s">
        <v>28</v>
      </c>
      <c r="B37" s="1">
        <v>855</v>
      </c>
      <c r="C37" s="1">
        <v>19</v>
      </c>
      <c r="D37" s="2">
        <v>10507.26140350877</v>
      </c>
      <c r="H37"/>
    </row>
    <row r="38" spans="1:8" x14ac:dyDescent="0.2">
      <c r="A38" s="1" t="s">
        <v>28</v>
      </c>
      <c r="B38" s="1">
        <v>857</v>
      </c>
      <c r="C38" s="1">
        <v>269</v>
      </c>
      <c r="D38" s="2">
        <v>12405.189574851005</v>
      </c>
      <c r="H38"/>
    </row>
    <row r="39" spans="1:8" x14ac:dyDescent="0.2">
      <c r="A39" s="1" t="s">
        <v>29</v>
      </c>
      <c r="B39" s="1">
        <v>852</v>
      </c>
      <c r="C39" s="1">
        <v>11</v>
      </c>
      <c r="D39" s="2">
        <v>12010.292929292929</v>
      </c>
      <c r="H39"/>
    </row>
    <row r="40" spans="1:8" x14ac:dyDescent="0.2">
      <c r="A40" s="1" t="s">
        <v>29</v>
      </c>
      <c r="B40" s="1">
        <v>853</v>
      </c>
      <c r="C40" s="1">
        <v>10</v>
      </c>
      <c r="D40" s="2">
        <v>13210.819545454546</v>
      </c>
      <c r="H40"/>
    </row>
    <row r="41" spans="1:8" x14ac:dyDescent="0.2">
      <c r="A41" s="1" t="s">
        <v>29</v>
      </c>
      <c r="B41" s="1">
        <v>857</v>
      </c>
      <c r="C41" s="1">
        <v>372</v>
      </c>
      <c r="D41" s="2">
        <v>11957.052201353021</v>
      </c>
      <c r="H41"/>
    </row>
    <row r="42" spans="1:8" x14ac:dyDescent="0.2">
      <c r="A42" s="1" t="s">
        <v>30</v>
      </c>
      <c r="B42" s="1">
        <v>852</v>
      </c>
      <c r="C42" s="1">
        <v>22</v>
      </c>
      <c r="D42" s="2">
        <v>16149.179176505311</v>
      </c>
      <c r="H42"/>
    </row>
    <row r="43" spans="1:8" x14ac:dyDescent="0.2">
      <c r="A43" s="1" t="s">
        <v>30</v>
      </c>
      <c r="B43" s="1">
        <v>854</v>
      </c>
      <c r="C43" s="1">
        <v>51</v>
      </c>
      <c r="D43" s="2">
        <v>9171.9766608663667</v>
      </c>
      <c r="H43"/>
    </row>
    <row r="44" spans="1:8" x14ac:dyDescent="0.2">
      <c r="A44" s="1" t="s">
        <v>30</v>
      </c>
      <c r="B44" s="1">
        <v>857</v>
      </c>
      <c r="C44" s="1">
        <v>55</v>
      </c>
      <c r="D44" s="2">
        <v>12164.673432375705</v>
      </c>
      <c r="H44"/>
    </row>
    <row r="45" spans="1:8" x14ac:dyDescent="0.2">
      <c r="A45" s="1" t="s">
        <v>31</v>
      </c>
      <c r="B45" s="1">
        <v>857</v>
      </c>
      <c r="C45" s="1">
        <v>105</v>
      </c>
      <c r="D45" s="2">
        <v>11853.885488215492</v>
      </c>
      <c r="H45"/>
    </row>
    <row r="46" spans="1:8" x14ac:dyDescent="0.2">
      <c r="A46" s="1" t="s">
        <v>32</v>
      </c>
      <c r="B46" s="1">
        <v>850</v>
      </c>
      <c r="C46" s="1">
        <v>21</v>
      </c>
      <c r="D46" s="2">
        <v>6798.2045214045211</v>
      </c>
      <c r="H46"/>
    </row>
    <row r="47" spans="1:8" x14ac:dyDescent="0.2">
      <c r="A47" s="1" t="s">
        <v>32</v>
      </c>
      <c r="B47" s="1">
        <v>851</v>
      </c>
      <c r="C47" s="1">
        <v>31</v>
      </c>
      <c r="D47" s="2">
        <v>6074.5952892985142</v>
      </c>
      <c r="H47"/>
    </row>
    <row r="48" spans="1:8" x14ac:dyDescent="0.2">
      <c r="A48" s="1" t="s">
        <v>32</v>
      </c>
      <c r="B48" s="1">
        <v>852</v>
      </c>
      <c r="C48" s="1">
        <v>158</v>
      </c>
      <c r="D48" s="2">
        <v>11852.456619769122</v>
      </c>
      <c r="H48"/>
    </row>
    <row r="49" spans="1:8" x14ac:dyDescent="0.2">
      <c r="A49" s="1" t="s">
        <v>32</v>
      </c>
      <c r="B49" s="1">
        <v>853</v>
      </c>
      <c r="C49" s="1">
        <v>11</v>
      </c>
      <c r="D49" s="2">
        <v>9980.9000000000015</v>
      </c>
      <c r="H49"/>
    </row>
    <row r="50" spans="1:8" x14ac:dyDescent="0.2">
      <c r="A50" s="1" t="s">
        <v>32</v>
      </c>
      <c r="B50" s="1">
        <v>854</v>
      </c>
      <c r="C50" s="1">
        <v>52</v>
      </c>
      <c r="D50" s="2">
        <v>10138.697627372629</v>
      </c>
      <c r="H50"/>
    </row>
    <row r="51" spans="1:8" x14ac:dyDescent="0.2">
      <c r="A51" s="1" t="s">
        <v>32</v>
      </c>
      <c r="B51" s="1">
        <v>855</v>
      </c>
      <c r="C51" s="1">
        <v>17</v>
      </c>
      <c r="D51" s="2">
        <v>10926.941218911807</v>
      </c>
      <c r="H51"/>
    </row>
    <row r="52" spans="1:8" x14ac:dyDescent="0.2">
      <c r="A52" s="1" t="s">
        <v>32</v>
      </c>
      <c r="B52" s="1">
        <v>856</v>
      </c>
      <c r="C52" s="1">
        <v>83</v>
      </c>
      <c r="D52" s="2">
        <v>6104.2419104991404</v>
      </c>
      <c r="H52"/>
    </row>
    <row r="53" spans="1:8" x14ac:dyDescent="0.2">
      <c r="A53" s="1" t="s">
        <v>32</v>
      </c>
      <c r="B53" s="1">
        <v>857</v>
      </c>
      <c r="C53" s="1">
        <v>487</v>
      </c>
      <c r="D53" s="2">
        <v>11286.35676595821</v>
      </c>
      <c r="H53"/>
    </row>
    <row r="54" spans="1:8" x14ac:dyDescent="0.2">
      <c r="A54" s="1" t="s">
        <v>33</v>
      </c>
      <c r="B54" s="1">
        <v>850</v>
      </c>
      <c r="C54" s="1">
        <v>27</v>
      </c>
      <c r="D54" s="2">
        <v>6115.4743386243399</v>
      </c>
      <c r="H54"/>
    </row>
    <row r="55" spans="1:8" x14ac:dyDescent="0.2">
      <c r="A55" s="1" t="s">
        <v>33</v>
      </c>
      <c r="B55" s="1">
        <v>852</v>
      </c>
      <c r="C55" s="1">
        <v>10</v>
      </c>
      <c r="D55" s="2">
        <v>5990.2988095238088</v>
      </c>
      <c r="H55"/>
    </row>
    <row r="56" spans="1:8" x14ac:dyDescent="0.2">
      <c r="A56" s="1" t="s">
        <v>33</v>
      </c>
      <c r="B56" s="1">
        <v>857</v>
      </c>
      <c r="C56" s="1">
        <v>69</v>
      </c>
      <c r="D56" s="2">
        <v>16532.703145847707</v>
      </c>
      <c r="H56"/>
    </row>
    <row r="57" spans="1:8" x14ac:dyDescent="0.2">
      <c r="A57" s="1" t="s">
        <v>34</v>
      </c>
      <c r="B57" s="1">
        <v>857</v>
      </c>
      <c r="C57" s="1">
        <v>64</v>
      </c>
      <c r="D57" s="2">
        <v>12335.965322307899</v>
      </c>
      <c r="H57"/>
    </row>
    <row r="58" spans="1:8" x14ac:dyDescent="0.2">
      <c r="A58" s="1" t="s">
        <v>35</v>
      </c>
      <c r="B58" s="1">
        <v>850</v>
      </c>
      <c r="C58" s="1">
        <v>219</v>
      </c>
      <c r="D58" s="2">
        <v>4542.0268518518533</v>
      </c>
      <c r="H58"/>
    </row>
    <row r="59" spans="1:8" x14ac:dyDescent="0.2">
      <c r="A59" s="1" t="s">
        <v>35</v>
      </c>
      <c r="B59" s="1">
        <v>851</v>
      </c>
      <c r="C59" s="1">
        <v>481</v>
      </c>
      <c r="D59" s="2">
        <v>7361.6212615462655</v>
      </c>
      <c r="H59"/>
    </row>
    <row r="60" spans="1:8" x14ac:dyDescent="0.2">
      <c r="A60" s="1" t="s">
        <v>35</v>
      </c>
      <c r="B60" s="1">
        <v>852</v>
      </c>
      <c r="C60" s="1">
        <v>290</v>
      </c>
      <c r="D60" s="2">
        <v>9995.922087127432</v>
      </c>
      <c r="H60"/>
    </row>
    <row r="61" spans="1:8" x14ac:dyDescent="0.2">
      <c r="A61" s="1" t="s">
        <v>35</v>
      </c>
      <c r="B61" s="1">
        <v>853</v>
      </c>
      <c r="C61" s="1">
        <v>48</v>
      </c>
      <c r="D61" s="2">
        <v>9839.595144149831</v>
      </c>
      <c r="H61"/>
    </row>
    <row r="62" spans="1:8" x14ac:dyDescent="0.2">
      <c r="A62" s="1" t="s">
        <v>35</v>
      </c>
      <c r="B62" s="1">
        <v>854</v>
      </c>
      <c r="C62" s="1">
        <v>143</v>
      </c>
      <c r="D62" s="2">
        <v>7955.3902097902082</v>
      </c>
      <c r="H62"/>
    </row>
    <row r="63" spans="1:8" x14ac:dyDescent="0.2">
      <c r="A63" s="1" t="s">
        <v>35</v>
      </c>
      <c r="B63" s="1">
        <v>855</v>
      </c>
      <c r="C63" s="1">
        <v>49</v>
      </c>
      <c r="D63" s="2">
        <v>10469.496921106103</v>
      </c>
      <c r="H63"/>
    </row>
    <row r="64" spans="1:8" x14ac:dyDescent="0.2">
      <c r="A64" s="1" t="s">
        <v>35</v>
      </c>
      <c r="B64" s="1">
        <v>856</v>
      </c>
      <c r="C64" s="1">
        <v>783</v>
      </c>
      <c r="D64" s="2">
        <v>6190.3295596910566</v>
      </c>
      <c r="H64"/>
    </row>
    <row r="65" spans="1:8" x14ac:dyDescent="0.2">
      <c r="A65" s="1" t="s">
        <v>35</v>
      </c>
      <c r="B65" s="1">
        <v>857</v>
      </c>
      <c r="C65" s="1">
        <v>772</v>
      </c>
      <c r="D65" s="2">
        <v>11288.177306419104</v>
      </c>
      <c r="H65"/>
    </row>
    <row r="66" spans="1:8" x14ac:dyDescent="0.2">
      <c r="A66" s="1" t="s">
        <v>36</v>
      </c>
      <c r="B66" s="1">
        <v>850</v>
      </c>
      <c r="C66" s="1">
        <v>13</v>
      </c>
      <c r="D66" s="2">
        <v>7794.8814102564102</v>
      </c>
      <c r="H66"/>
    </row>
    <row r="67" spans="1:8" x14ac:dyDescent="0.2">
      <c r="A67" s="1" t="s">
        <v>36</v>
      </c>
      <c r="B67" s="1">
        <v>851</v>
      </c>
      <c r="C67" s="1">
        <v>18</v>
      </c>
      <c r="D67" s="2">
        <v>8289.6121693121695</v>
      </c>
      <c r="H67"/>
    </row>
    <row r="68" spans="1:8" x14ac:dyDescent="0.2">
      <c r="A68" s="1" t="s">
        <v>36</v>
      </c>
      <c r="B68" s="1">
        <v>852</v>
      </c>
      <c r="C68" s="1">
        <v>83</v>
      </c>
      <c r="D68" s="2">
        <v>11656.6866226812</v>
      </c>
      <c r="H68"/>
    </row>
    <row r="69" spans="1:8" x14ac:dyDescent="0.2">
      <c r="A69" s="1" t="s">
        <v>36</v>
      </c>
      <c r="B69" s="1">
        <v>854</v>
      </c>
      <c r="C69" s="1">
        <v>49</v>
      </c>
      <c r="D69" s="2">
        <v>8772.0267330741844</v>
      </c>
      <c r="H69"/>
    </row>
    <row r="70" spans="1:8" x14ac:dyDescent="0.2">
      <c r="A70" s="1" t="s">
        <v>36</v>
      </c>
      <c r="B70" s="1">
        <v>855</v>
      </c>
      <c r="C70" s="1">
        <v>14</v>
      </c>
      <c r="D70" s="2">
        <v>8524.5418831168827</v>
      </c>
      <c r="H70"/>
    </row>
    <row r="71" spans="1:8" x14ac:dyDescent="0.2">
      <c r="A71" s="1" t="s">
        <v>36</v>
      </c>
      <c r="B71" s="1">
        <v>856</v>
      </c>
      <c r="C71" s="1">
        <v>20</v>
      </c>
      <c r="D71" s="2">
        <v>5231.251414141414</v>
      </c>
      <c r="H71"/>
    </row>
    <row r="72" spans="1:8" x14ac:dyDescent="0.2">
      <c r="A72" s="1" t="s">
        <v>36</v>
      </c>
      <c r="B72" s="1">
        <v>857</v>
      </c>
      <c r="C72" s="1">
        <v>277</v>
      </c>
      <c r="D72" s="2">
        <v>11301.45656109835</v>
      </c>
      <c r="H72"/>
    </row>
    <row r="73" spans="1:8" x14ac:dyDescent="0.2">
      <c r="A73" s="1" t="s">
        <v>36</v>
      </c>
      <c r="B73" s="1">
        <v>858</v>
      </c>
      <c r="C73" s="1">
        <v>10</v>
      </c>
      <c r="D73" s="2">
        <v>4809.4266666666663</v>
      </c>
      <c r="H73"/>
    </row>
    <row r="74" spans="1:8" x14ac:dyDescent="0.2">
      <c r="A74" s="1" t="s">
        <v>37</v>
      </c>
      <c r="B74" s="1">
        <v>850</v>
      </c>
      <c r="C74" s="1">
        <v>40</v>
      </c>
      <c r="D74" s="2">
        <v>4062.9065656565663</v>
      </c>
      <c r="H74"/>
    </row>
    <row r="75" spans="1:8" x14ac:dyDescent="0.2">
      <c r="A75" s="1" t="s">
        <v>37</v>
      </c>
      <c r="B75" s="1">
        <v>851</v>
      </c>
      <c r="C75" s="1">
        <v>24</v>
      </c>
      <c r="D75" s="2">
        <v>3864.8780092592588</v>
      </c>
      <c r="H75"/>
    </row>
    <row r="76" spans="1:8" x14ac:dyDescent="0.2">
      <c r="A76" s="1" t="s">
        <v>37</v>
      </c>
      <c r="B76" s="1">
        <v>852</v>
      </c>
      <c r="C76" s="1">
        <v>171</v>
      </c>
      <c r="D76" s="2">
        <v>11002.341287773308</v>
      </c>
      <c r="H76"/>
    </row>
    <row r="77" spans="1:8" x14ac:dyDescent="0.2">
      <c r="A77" s="1" t="s">
        <v>37</v>
      </c>
      <c r="B77" s="1">
        <v>853</v>
      </c>
      <c r="C77" s="1">
        <v>30</v>
      </c>
      <c r="D77" s="2">
        <v>8670.8408128908122</v>
      </c>
      <c r="H77"/>
    </row>
    <row r="78" spans="1:8" x14ac:dyDescent="0.2">
      <c r="A78" s="1" t="s">
        <v>37</v>
      </c>
      <c r="B78" s="1">
        <v>854</v>
      </c>
      <c r="C78" s="1">
        <v>262</v>
      </c>
      <c r="D78" s="2">
        <v>7032.3071633730988</v>
      </c>
      <c r="H78"/>
    </row>
    <row r="79" spans="1:8" x14ac:dyDescent="0.2">
      <c r="A79" s="1" t="s">
        <v>37</v>
      </c>
      <c r="B79" s="1">
        <v>855</v>
      </c>
      <c r="C79" s="1">
        <v>19</v>
      </c>
      <c r="D79" s="2">
        <v>6038.8161881977658</v>
      </c>
      <c r="H79"/>
    </row>
    <row r="80" spans="1:8" x14ac:dyDescent="0.2">
      <c r="A80" s="1" t="s">
        <v>37</v>
      </c>
      <c r="B80" s="1">
        <v>856</v>
      </c>
      <c r="C80" s="1">
        <v>92</v>
      </c>
      <c r="D80" s="2">
        <v>6402.4256995420019</v>
      </c>
      <c r="H80"/>
    </row>
    <row r="81" spans="1:8" x14ac:dyDescent="0.2">
      <c r="A81" s="1" t="s">
        <v>37</v>
      </c>
      <c r="B81" s="1">
        <v>857</v>
      </c>
      <c r="C81" s="1">
        <v>465</v>
      </c>
      <c r="D81" s="2">
        <v>12623.941224068647</v>
      </c>
      <c r="H81"/>
    </row>
    <row r="82" spans="1:8" x14ac:dyDescent="0.2">
      <c r="A82" s="1" t="s">
        <v>37</v>
      </c>
      <c r="B82" s="1">
        <v>858</v>
      </c>
      <c r="C82" s="1">
        <v>11</v>
      </c>
      <c r="D82" s="2">
        <v>6588.5042929292922</v>
      </c>
      <c r="H82"/>
    </row>
    <row r="83" spans="1:8" x14ac:dyDescent="0.2">
      <c r="A83" s="1" t="s">
        <v>38</v>
      </c>
      <c r="B83" s="1">
        <v>852</v>
      </c>
      <c r="C83" s="1">
        <v>26</v>
      </c>
      <c r="D83" s="2">
        <v>10211.059965034967</v>
      </c>
      <c r="H83"/>
    </row>
    <row r="84" spans="1:8" x14ac:dyDescent="0.2">
      <c r="A84" s="1" t="s">
        <v>38</v>
      </c>
      <c r="B84" s="1">
        <v>854</v>
      </c>
      <c r="C84" s="1">
        <v>32</v>
      </c>
      <c r="D84" s="2">
        <v>15241.534931908369</v>
      </c>
      <c r="H84"/>
    </row>
    <row r="85" spans="1:8" x14ac:dyDescent="0.2">
      <c r="A85" s="1" t="s">
        <v>38</v>
      </c>
      <c r="B85" s="1">
        <v>855</v>
      </c>
      <c r="C85" s="1">
        <v>15</v>
      </c>
      <c r="D85" s="2">
        <v>17372.676851851851</v>
      </c>
      <c r="H85"/>
    </row>
    <row r="86" spans="1:8" x14ac:dyDescent="0.2">
      <c r="A86" s="1" t="s">
        <v>38</v>
      </c>
      <c r="B86" s="1">
        <v>857</v>
      </c>
      <c r="C86" s="1">
        <v>95</v>
      </c>
      <c r="D86" s="2">
        <v>11898.867172096907</v>
      </c>
      <c r="H86"/>
    </row>
  </sheetData>
  <pageMargins left="0.75" right="0.75" top="1" bottom="1" header="0.5" footer="0.5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L746"/>
  <sheetViews>
    <sheetView topLeftCell="C103" zoomScale="74" zoomScaleNormal="100" workbookViewId="0">
      <selection activeCell="J1" sqref="J1:L114"/>
    </sheetView>
  </sheetViews>
  <sheetFormatPr defaultRowHeight="14.25" x14ac:dyDescent="0.2"/>
  <cols>
    <col min="1" max="1" width="27.7109375" style="1" bestFit="1" customWidth="1"/>
    <col min="2" max="2" width="9.28515625" style="1" bestFit="1" customWidth="1"/>
    <col min="3" max="3" width="93.85546875" style="1" bestFit="1" customWidth="1"/>
    <col min="4" max="4" width="12" style="1" bestFit="1" customWidth="1"/>
    <col min="5" max="5" width="16.28515625" style="2" bestFit="1" customWidth="1"/>
    <col min="10" max="11" width="6.7109375" style="21" customWidth="1"/>
    <col min="12" max="12" width="73.5703125" style="22" customWidth="1"/>
  </cols>
  <sheetData>
    <row r="1" spans="1:12" ht="26.25" thickBot="1" x14ac:dyDescent="0.3">
      <c r="A1" s="3" t="s">
        <v>0</v>
      </c>
      <c r="B1" s="3" t="s">
        <v>49</v>
      </c>
      <c r="C1" s="3" t="s">
        <v>78</v>
      </c>
      <c r="D1" s="3" t="s">
        <v>50</v>
      </c>
      <c r="E1" s="4" t="s">
        <v>51</v>
      </c>
      <c r="J1" s="15" t="s">
        <v>79</v>
      </c>
      <c r="K1" s="15" t="s">
        <v>80</v>
      </c>
      <c r="L1" s="15" t="s">
        <v>81</v>
      </c>
    </row>
    <row r="2" spans="1:12" x14ac:dyDescent="0.2">
      <c r="A2" s="1" t="s">
        <v>1</v>
      </c>
      <c r="B2" s="1">
        <v>1</v>
      </c>
      <c r="C2" s="1" t="str">
        <f>INDEX(L:L,MATCH(B2,K:K,0))</f>
        <v>גידולים צמחיים</v>
      </c>
      <c r="D2" s="1">
        <v>263</v>
      </c>
      <c r="E2" s="2">
        <v>5828.4334386779228</v>
      </c>
      <c r="J2" s="23" t="s">
        <v>3</v>
      </c>
      <c r="K2" s="23"/>
      <c r="L2" s="24" t="s">
        <v>82</v>
      </c>
    </row>
    <row r="3" spans="1:12" x14ac:dyDescent="0.2">
      <c r="A3" s="1" t="s">
        <v>1</v>
      </c>
      <c r="B3" s="1">
        <v>4</v>
      </c>
      <c r="C3" s="1" t="str">
        <f t="shared" ref="C3:C66" si="0">INDEX(L:L,MATCH(B3,K:K,0))</f>
        <v>גידול בעלי חיים, ציד ופעילויות נלוות</v>
      </c>
      <c r="D3" s="1">
        <v>41</v>
      </c>
      <c r="E3" s="2">
        <v>6468.1012195121939</v>
      </c>
      <c r="J3" s="18"/>
      <c r="K3" s="18">
        <v>1</v>
      </c>
      <c r="L3" s="19" t="s">
        <v>83</v>
      </c>
    </row>
    <row r="4" spans="1:12" x14ac:dyDescent="0.2">
      <c r="A4" s="1" t="s">
        <v>1</v>
      </c>
      <c r="B4" s="1">
        <v>10</v>
      </c>
      <c r="C4" s="1" t="str">
        <f t="shared" si="0"/>
        <v>ייצור מוצרי מזון</v>
      </c>
      <c r="D4" s="1">
        <v>21</v>
      </c>
      <c r="E4" s="2">
        <v>10089.295695045694</v>
      </c>
      <c r="J4" s="18"/>
      <c r="K4" s="18">
        <v>2</v>
      </c>
      <c r="L4" s="19" t="s">
        <v>84</v>
      </c>
    </row>
    <row r="5" spans="1:12" x14ac:dyDescent="0.2">
      <c r="A5" s="1" t="s">
        <v>1</v>
      </c>
      <c r="B5" s="1">
        <v>11</v>
      </c>
      <c r="C5" s="1" t="str">
        <f t="shared" si="0"/>
        <v>ייצור משקאות</v>
      </c>
      <c r="D5" s="1">
        <v>32</v>
      </c>
      <c r="E5" s="2">
        <v>12219.861805555554</v>
      </c>
      <c r="J5" s="18"/>
      <c r="K5" s="18">
        <v>3</v>
      </c>
      <c r="L5" s="19" t="s">
        <v>85</v>
      </c>
    </row>
    <row r="6" spans="1:12" x14ac:dyDescent="0.2">
      <c r="A6" s="1" t="s">
        <v>1</v>
      </c>
      <c r="B6" s="1">
        <v>13</v>
      </c>
      <c r="C6" s="1" t="str">
        <f t="shared" si="0"/>
        <v>ייצור טקסטיל</v>
      </c>
      <c r="D6" s="1">
        <v>15</v>
      </c>
      <c r="E6" s="2">
        <v>6051.9077777777775</v>
      </c>
      <c r="J6" s="18"/>
      <c r="K6" s="18">
        <v>4</v>
      </c>
      <c r="L6" s="19" t="s">
        <v>86</v>
      </c>
    </row>
    <row r="7" spans="1:12" x14ac:dyDescent="0.2">
      <c r="A7" s="1" t="s">
        <v>1</v>
      </c>
      <c r="B7" s="1">
        <v>20</v>
      </c>
      <c r="C7" s="1" t="str">
        <f t="shared" si="0"/>
        <v>ייצור כימיקלים ומוצריהם</v>
      </c>
      <c r="D7" s="1">
        <v>30</v>
      </c>
      <c r="E7" s="2">
        <v>11296.284722222223</v>
      </c>
      <c r="J7" s="16" t="s">
        <v>24</v>
      </c>
      <c r="K7" s="16"/>
      <c r="L7" s="17" t="s">
        <v>87</v>
      </c>
    </row>
    <row r="8" spans="1:12" x14ac:dyDescent="0.2">
      <c r="A8" s="1" t="s">
        <v>1</v>
      </c>
      <c r="B8" s="1">
        <v>22</v>
      </c>
      <c r="C8" s="1" t="str">
        <f t="shared" si="0"/>
        <v xml:space="preserve">ייצור מוצרי גומי ופלסטיק </v>
      </c>
      <c r="D8" s="1">
        <v>23</v>
      </c>
      <c r="E8" s="2">
        <v>8583.6462889767245</v>
      </c>
      <c r="J8" s="18"/>
      <c r="K8" s="18">
        <v>5</v>
      </c>
      <c r="L8" s="19" t="s">
        <v>88</v>
      </c>
    </row>
    <row r="9" spans="1:12" x14ac:dyDescent="0.2">
      <c r="A9" s="1" t="s">
        <v>1</v>
      </c>
      <c r="B9" s="1">
        <v>23</v>
      </c>
      <c r="C9" s="1" t="str">
        <f t="shared" si="0"/>
        <v>ייצור מוצרים אחרים על בסיס מינרלים אל-מתכתיים</v>
      </c>
      <c r="D9" s="1">
        <v>25</v>
      </c>
      <c r="E9" s="2">
        <v>12565.408333333333</v>
      </c>
      <c r="J9" s="18"/>
      <c r="K9" s="18">
        <v>6</v>
      </c>
      <c r="L9" s="19" t="s">
        <v>89</v>
      </c>
    </row>
    <row r="10" spans="1:12" x14ac:dyDescent="0.2">
      <c r="A10" s="1" t="s">
        <v>1</v>
      </c>
      <c r="B10" s="1">
        <v>32</v>
      </c>
      <c r="C10" s="1" t="str">
        <f t="shared" si="0"/>
        <v>ענפי ייצור אחרים</v>
      </c>
      <c r="D10" s="1">
        <v>21</v>
      </c>
      <c r="E10" s="2">
        <v>9686.6690802583671</v>
      </c>
      <c r="J10" s="18"/>
      <c r="K10" s="18">
        <v>7</v>
      </c>
      <c r="L10" s="19" t="s">
        <v>90</v>
      </c>
    </row>
    <row r="11" spans="1:12" x14ac:dyDescent="0.2">
      <c r="A11" s="1" t="s">
        <v>1</v>
      </c>
      <c r="B11" s="1">
        <v>33</v>
      </c>
      <c r="C11" s="1" t="str">
        <f t="shared" si="0"/>
        <v>תיקון, תחזוקה והתקנה של מכונות וציוד</v>
      </c>
      <c r="D11" s="1">
        <v>13</v>
      </c>
      <c r="E11" s="2">
        <v>4182.6471611721608</v>
      </c>
      <c r="J11" s="18"/>
      <c r="K11" s="18">
        <v>8</v>
      </c>
      <c r="L11" s="19" t="s">
        <v>91</v>
      </c>
    </row>
    <row r="12" spans="1:12" x14ac:dyDescent="0.2">
      <c r="A12" s="1" t="s">
        <v>1</v>
      </c>
      <c r="B12" s="1">
        <v>41</v>
      </c>
      <c r="C12" s="1" t="str">
        <f t="shared" si="0"/>
        <v>בניית מבנים ובניינים</v>
      </c>
      <c r="D12" s="1">
        <v>225</v>
      </c>
      <c r="E12" s="2">
        <v>7612.2048972262282</v>
      </c>
      <c r="J12" s="18"/>
      <c r="K12" s="18">
        <v>9</v>
      </c>
      <c r="L12" s="19" t="s">
        <v>92</v>
      </c>
    </row>
    <row r="13" spans="1:12" x14ac:dyDescent="0.2">
      <c r="A13" s="1" t="s">
        <v>1</v>
      </c>
      <c r="B13" s="1">
        <v>42</v>
      </c>
      <c r="C13" s="1" t="str">
        <f t="shared" si="0"/>
        <v xml:space="preserve">עבודות הנדסה אזרחית </v>
      </c>
      <c r="D13" s="1">
        <v>260</v>
      </c>
      <c r="E13" s="2">
        <v>8543.1291428016411</v>
      </c>
      <c r="J13" s="16" t="s">
        <v>4</v>
      </c>
      <c r="K13" s="16"/>
      <c r="L13" s="17" t="s">
        <v>93</v>
      </c>
    </row>
    <row r="14" spans="1:12" x14ac:dyDescent="0.2">
      <c r="A14" s="1" t="s">
        <v>1</v>
      </c>
      <c r="B14" s="1">
        <v>43</v>
      </c>
      <c r="C14" s="1" t="str">
        <f t="shared" si="0"/>
        <v xml:space="preserve">עבודות בנייה מיוחדות </v>
      </c>
      <c r="D14" s="1">
        <v>124</v>
      </c>
      <c r="E14" s="2">
        <v>6924.5628991528192</v>
      </c>
      <c r="J14" s="18"/>
      <c r="K14" s="18">
        <v>10</v>
      </c>
      <c r="L14" s="19" t="s">
        <v>94</v>
      </c>
    </row>
    <row r="15" spans="1:12" x14ac:dyDescent="0.2">
      <c r="A15" s="1" t="s">
        <v>1</v>
      </c>
      <c r="B15" s="1">
        <v>45</v>
      </c>
      <c r="C15" s="1" t="str">
        <f t="shared" si="0"/>
        <v>מסחר סיטוני וקמעוני בכלי רכב מנועיים ובאופנועים ותיקונם</v>
      </c>
      <c r="D15" s="1">
        <v>31</v>
      </c>
      <c r="E15" s="2">
        <v>7414.9551075268819</v>
      </c>
      <c r="J15" s="18"/>
      <c r="K15" s="18">
        <v>11</v>
      </c>
      <c r="L15" s="19" t="s">
        <v>95</v>
      </c>
    </row>
    <row r="16" spans="1:12" x14ac:dyDescent="0.2">
      <c r="A16" s="1" t="s">
        <v>1</v>
      </c>
      <c r="B16" s="1">
        <v>46</v>
      </c>
      <c r="C16" s="1" t="str">
        <f t="shared" si="0"/>
        <v>מסחר סיטוני, פרט לכלי רכב מנועיים ולאופנועים</v>
      </c>
      <c r="D16" s="1">
        <v>60</v>
      </c>
      <c r="E16" s="2">
        <v>7235.7006679894166</v>
      </c>
      <c r="J16" s="18"/>
      <c r="K16" s="18">
        <v>12</v>
      </c>
      <c r="L16" s="19" t="s">
        <v>96</v>
      </c>
    </row>
    <row r="17" spans="1:12" x14ac:dyDescent="0.2">
      <c r="A17" s="1" t="s">
        <v>1</v>
      </c>
      <c r="B17" s="1">
        <v>47</v>
      </c>
      <c r="C17" s="1" t="str">
        <f t="shared" si="0"/>
        <v>מכירה קמעונית, פרט לכלי רכב מנועיים ולאופנועים</v>
      </c>
      <c r="D17" s="1">
        <v>213</v>
      </c>
      <c r="E17" s="2">
        <v>5013.9065148466543</v>
      </c>
      <c r="J17" s="18"/>
      <c r="K17" s="18">
        <v>13</v>
      </c>
      <c r="L17" s="19" t="s">
        <v>97</v>
      </c>
    </row>
    <row r="18" spans="1:12" x14ac:dyDescent="0.2">
      <c r="A18" s="1" t="s">
        <v>1</v>
      </c>
      <c r="B18" s="1">
        <v>49</v>
      </c>
      <c r="C18" s="1" t="str">
        <f t="shared" si="0"/>
        <v>הובלה יבשתית והובלה באמצעות קווי צינורות</v>
      </c>
      <c r="D18" s="1">
        <v>75</v>
      </c>
      <c r="E18" s="2">
        <v>6523.1304011544016</v>
      </c>
      <c r="J18" s="18"/>
      <c r="K18" s="18">
        <v>14</v>
      </c>
      <c r="L18" s="19" t="s">
        <v>98</v>
      </c>
    </row>
    <row r="19" spans="1:12" x14ac:dyDescent="0.2">
      <c r="A19" s="1" t="s">
        <v>1</v>
      </c>
      <c r="B19" s="1">
        <v>52</v>
      </c>
      <c r="C19" s="1" t="str">
        <f t="shared" si="0"/>
        <v>אחסנה ושירותי עזר לתחבורה</v>
      </c>
      <c r="D19" s="1">
        <v>16</v>
      </c>
      <c r="E19" s="2">
        <v>6877.3132891414134</v>
      </c>
      <c r="J19" s="18"/>
      <c r="K19" s="18">
        <v>15</v>
      </c>
      <c r="L19" s="19" t="s">
        <v>99</v>
      </c>
    </row>
    <row r="20" spans="1:12" x14ac:dyDescent="0.2">
      <c r="A20" s="1" t="s">
        <v>1</v>
      </c>
      <c r="B20" s="1">
        <v>55</v>
      </c>
      <c r="C20" s="1" t="str">
        <f t="shared" si="0"/>
        <v>שירותי אירוח</v>
      </c>
      <c r="D20" s="1">
        <v>201</v>
      </c>
      <c r="E20" s="2">
        <v>5684.6667980444108</v>
      </c>
      <c r="J20" s="18"/>
      <c r="K20" s="18">
        <v>16</v>
      </c>
      <c r="L20" s="19" t="s">
        <v>100</v>
      </c>
    </row>
    <row r="21" spans="1:12" x14ac:dyDescent="0.2">
      <c r="A21" s="1" t="s">
        <v>1</v>
      </c>
      <c r="B21" s="1">
        <v>56</v>
      </c>
      <c r="C21" s="1" t="str">
        <f t="shared" si="0"/>
        <v xml:space="preserve">שירותי מזון ומשקאות </v>
      </c>
      <c r="D21" s="1">
        <v>43</v>
      </c>
      <c r="E21" s="2">
        <v>4390.377923755831</v>
      </c>
      <c r="J21" s="18"/>
      <c r="K21" s="18">
        <v>17</v>
      </c>
      <c r="L21" s="19" t="s">
        <v>101</v>
      </c>
    </row>
    <row r="22" spans="1:12" x14ac:dyDescent="0.2">
      <c r="A22" s="1" t="s">
        <v>1</v>
      </c>
      <c r="B22" s="1">
        <v>62</v>
      </c>
      <c r="C22" s="1" t="str">
        <f t="shared" si="0"/>
        <v>תכנות מחשבים, ייעוץ בתחום המחשבים ושירותים נלווים אחרים</v>
      </c>
      <c r="D22" s="1">
        <v>28</v>
      </c>
      <c r="E22" s="2">
        <v>14349.074702380949</v>
      </c>
      <c r="J22" s="18"/>
      <c r="K22" s="18">
        <v>18</v>
      </c>
      <c r="L22" s="19" t="s">
        <v>102</v>
      </c>
    </row>
    <row r="23" spans="1:12" x14ac:dyDescent="0.2">
      <c r="A23" s="1" t="s">
        <v>1</v>
      </c>
      <c r="B23" s="1">
        <v>64</v>
      </c>
      <c r="C23" s="1" t="str">
        <f t="shared" si="0"/>
        <v>שירותים פיננסיים, פרט לביטוח ולקרנות פנסיה</v>
      </c>
      <c r="D23" s="1">
        <v>16</v>
      </c>
      <c r="E23" s="2">
        <v>9562.96875</v>
      </c>
      <c r="J23" s="18"/>
      <c r="K23" s="18">
        <v>19</v>
      </c>
      <c r="L23" s="19" t="s">
        <v>103</v>
      </c>
    </row>
    <row r="24" spans="1:12" x14ac:dyDescent="0.2">
      <c r="A24" s="1" t="s">
        <v>1</v>
      </c>
      <c r="B24" s="1">
        <v>68</v>
      </c>
      <c r="C24" s="1" t="str">
        <f t="shared" si="0"/>
        <v>פעילויות בנדל"ן</v>
      </c>
      <c r="D24" s="1">
        <v>22</v>
      </c>
      <c r="E24" s="2">
        <v>9488.7939393939396</v>
      </c>
      <c r="J24" s="18"/>
      <c r="K24" s="18">
        <v>20</v>
      </c>
      <c r="L24" s="19" t="s">
        <v>104</v>
      </c>
    </row>
    <row r="25" spans="1:12" x14ac:dyDescent="0.2">
      <c r="A25" s="1" t="s">
        <v>1</v>
      </c>
      <c r="B25" s="1">
        <v>69</v>
      </c>
      <c r="C25" s="1" t="str">
        <f t="shared" si="0"/>
        <v>שירותים משפטיים ושירותי חשבונאות</v>
      </c>
      <c r="D25" s="1">
        <v>12</v>
      </c>
      <c r="E25" s="2">
        <v>6434.208333333333</v>
      </c>
      <c r="J25" s="18"/>
      <c r="K25" s="18">
        <v>21</v>
      </c>
      <c r="L25" s="19" t="s">
        <v>105</v>
      </c>
    </row>
    <row r="26" spans="1:12" x14ac:dyDescent="0.2">
      <c r="A26" s="1" t="s">
        <v>1</v>
      </c>
      <c r="B26" s="1">
        <v>70</v>
      </c>
      <c r="C26" s="1" t="str">
        <f t="shared" si="0"/>
        <v>שירותי משרדים ראשיים; שירותי ייעוץ ניהולי</v>
      </c>
      <c r="D26" s="1">
        <v>58</v>
      </c>
      <c r="E26" s="2">
        <v>5129.5935394586249</v>
      </c>
      <c r="J26" s="18"/>
      <c r="K26" s="18">
        <v>22</v>
      </c>
      <c r="L26" s="19" t="s">
        <v>106</v>
      </c>
    </row>
    <row r="27" spans="1:12" x14ac:dyDescent="0.2">
      <c r="A27" s="1" t="s">
        <v>1</v>
      </c>
      <c r="B27" s="1">
        <v>71</v>
      </c>
      <c r="C27" s="1" t="str">
        <f t="shared" si="0"/>
        <v>שירותי אדריכלות והנדסה; בדיקות טכניות וניתוח נתונים טכניים</v>
      </c>
      <c r="D27" s="1">
        <v>84</v>
      </c>
      <c r="E27" s="2">
        <v>6926.0661792242126</v>
      </c>
      <c r="J27" s="18"/>
      <c r="K27" s="18">
        <v>23</v>
      </c>
      <c r="L27" s="19" t="s">
        <v>107</v>
      </c>
    </row>
    <row r="28" spans="1:12" x14ac:dyDescent="0.2">
      <c r="A28" s="1" t="s">
        <v>1</v>
      </c>
      <c r="B28" s="1">
        <v>78</v>
      </c>
      <c r="C28" s="1" t="str">
        <f t="shared" si="0"/>
        <v>שירותי תעסוקה</v>
      </c>
      <c r="D28" s="1">
        <v>106</v>
      </c>
      <c r="E28" s="2">
        <v>3312.5112880829861</v>
      </c>
      <c r="J28" s="18"/>
      <c r="K28" s="18">
        <v>24</v>
      </c>
      <c r="L28" s="19" t="s">
        <v>108</v>
      </c>
    </row>
    <row r="29" spans="1:12" x14ac:dyDescent="0.2">
      <c r="A29" s="1" t="s">
        <v>1</v>
      </c>
      <c r="B29" s="1">
        <v>81</v>
      </c>
      <c r="C29" s="1" t="str">
        <f t="shared" si="0"/>
        <v>שירותי תחזוקה לבניינים ועבודות גינון</v>
      </c>
      <c r="D29" s="1">
        <v>57</v>
      </c>
      <c r="E29" s="2">
        <v>5264.2569067871682</v>
      </c>
      <c r="J29" s="18"/>
      <c r="K29" s="18">
        <v>25</v>
      </c>
      <c r="L29" s="19" t="s">
        <v>109</v>
      </c>
    </row>
    <row r="30" spans="1:12" x14ac:dyDescent="0.2">
      <c r="A30" s="1" t="s">
        <v>1</v>
      </c>
      <c r="B30" s="1">
        <v>83</v>
      </c>
      <c r="C30" s="1" t="str">
        <f t="shared" si="0"/>
        <v>מינהל מקומי</v>
      </c>
      <c r="D30" s="1">
        <v>118</v>
      </c>
      <c r="E30" s="2">
        <v>8993.7044879790665</v>
      </c>
      <c r="J30" s="18"/>
      <c r="K30" s="18">
        <v>26</v>
      </c>
      <c r="L30" s="19" t="s">
        <v>110</v>
      </c>
    </row>
    <row r="31" spans="1:12" x14ac:dyDescent="0.2">
      <c r="A31" s="1" t="s">
        <v>1</v>
      </c>
      <c r="B31" s="1">
        <v>84</v>
      </c>
      <c r="C31" s="1" t="str">
        <f t="shared" si="0"/>
        <v>מינהל ציבורי וביטחון; ביטוח לאומי חובה</v>
      </c>
      <c r="D31" s="1">
        <v>28</v>
      </c>
      <c r="E31" s="2">
        <v>22779.709251958364</v>
      </c>
      <c r="J31" s="18"/>
      <c r="K31" s="18">
        <v>27</v>
      </c>
      <c r="L31" s="19" t="s">
        <v>111</v>
      </c>
    </row>
    <row r="32" spans="1:12" x14ac:dyDescent="0.2">
      <c r="A32" s="1" t="s">
        <v>1</v>
      </c>
      <c r="B32" s="1">
        <v>85</v>
      </c>
      <c r="C32" s="1" t="str">
        <f t="shared" si="0"/>
        <v>חינוך</v>
      </c>
      <c r="D32" s="1">
        <v>235</v>
      </c>
      <c r="E32" s="2">
        <v>13280.966762303899</v>
      </c>
      <c r="J32" s="18"/>
      <c r="K32" s="18">
        <v>28</v>
      </c>
      <c r="L32" s="19" t="s">
        <v>112</v>
      </c>
    </row>
    <row r="33" spans="1:12" x14ac:dyDescent="0.2">
      <c r="A33" s="1" t="s">
        <v>1</v>
      </c>
      <c r="B33" s="1">
        <v>86</v>
      </c>
      <c r="C33" s="1" t="str">
        <f t="shared" si="0"/>
        <v>שירותי בריאות</v>
      </c>
      <c r="D33" s="1">
        <v>116</v>
      </c>
      <c r="E33" s="2">
        <v>13873.475640020901</v>
      </c>
      <c r="J33" s="18"/>
      <c r="K33" s="18">
        <v>29</v>
      </c>
      <c r="L33" s="19" t="s">
        <v>113</v>
      </c>
    </row>
    <row r="34" spans="1:12" x14ac:dyDescent="0.2">
      <c r="A34" s="1" t="s">
        <v>1</v>
      </c>
      <c r="B34" s="1">
        <v>88</v>
      </c>
      <c r="C34" s="1" t="str">
        <f t="shared" si="0"/>
        <v>שירותי רווחה וסעד ללא מגורים</v>
      </c>
      <c r="D34" s="1">
        <v>188</v>
      </c>
      <c r="E34" s="2">
        <v>3065.7107085290586</v>
      </c>
      <c r="J34" s="18"/>
      <c r="K34" s="18">
        <v>30</v>
      </c>
      <c r="L34" s="19" t="s">
        <v>114</v>
      </c>
    </row>
    <row r="35" spans="1:12" x14ac:dyDescent="0.2">
      <c r="A35" s="1" t="s">
        <v>1</v>
      </c>
      <c r="B35" s="1">
        <v>93</v>
      </c>
      <c r="C35" s="1" t="str">
        <f t="shared" si="0"/>
        <v>פעילויות ספורט, בילוי ופנאי</v>
      </c>
      <c r="D35" s="1">
        <v>33</v>
      </c>
      <c r="E35" s="2">
        <v>4409.8705780751243</v>
      </c>
      <c r="J35" s="18"/>
      <c r="K35" s="18">
        <v>31</v>
      </c>
      <c r="L35" s="19" t="s">
        <v>115</v>
      </c>
    </row>
    <row r="36" spans="1:12" x14ac:dyDescent="0.2">
      <c r="A36" s="1" t="s">
        <v>1</v>
      </c>
      <c r="B36" s="1">
        <v>94</v>
      </c>
      <c r="C36" s="1" t="str">
        <f t="shared" si="0"/>
        <v>פעילויות של ארגוני חברים</v>
      </c>
      <c r="D36" s="1">
        <v>30</v>
      </c>
      <c r="E36" s="2">
        <v>5198.2445057720061</v>
      </c>
      <c r="J36" s="18"/>
      <c r="K36" s="18">
        <v>32</v>
      </c>
      <c r="L36" s="19" t="s">
        <v>116</v>
      </c>
    </row>
    <row r="37" spans="1:12" x14ac:dyDescent="0.2">
      <c r="A37" s="1" t="s">
        <v>1</v>
      </c>
      <c r="B37" s="1">
        <v>96</v>
      </c>
      <c r="C37" s="1" t="str">
        <f t="shared" si="0"/>
        <v>שירותים אישיים אחרים</v>
      </c>
      <c r="D37" s="1">
        <v>25</v>
      </c>
      <c r="E37" s="2">
        <v>4612.0553174603183</v>
      </c>
      <c r="J37" s="18"/>
      <c r="K37" s="18">
        <v>33</v>
      </c>
      <c r="L37" s="19" t="s">
        <v>117</v>
      </c>
    </row>
    <row r="38" spans="1:12" x14ac:dyDescent="0.2">
      <c r="A38" s="1" t="s">
        <v>20</v>
      </c>
      <c r="B38" s="1">
        <v>1</v>
      </c>
      <c r="C38" s="1" t="str">
        <f t="shared" si="0"/>
        <v>גידולים צמחיים</v>
      </c>
      <c r="D38" s="1">
        <v>95</v>
      </c>
      <c r="E38" s="2">
        <v>8814.3470179235974</v>
      </c>
      <c r="J38" s="18"/>
      <c r="K38" s="18">
        <v>34</v>
      </c>
      <c r="L38" s="19" t="s">
        <v>118</v>
      </c>
    </row>
    <row r="39" spans="1:12" x14ac:dyDescent="0.2">
      <c r="A39" s="1" t="s">
        <v>20</v>
      </c>
      <c r="B39" s="1">
        <v>10</v>
      </c>
      <c r="C39" s="1" t="str">
        <f t="shared" si="0"/>
        <v>ייצור מוצרי מזון</v>
      </c>
      <c r="D39" s="1">
        <v>52</v>
      </c>
      <c r="E39" s="2">
        <v>10013.378379953381</v>
      </c>
      <c r="J39" s="16" t="s">
        <v>22</v>
      </c>
      <c r="K39" s="16"/>
      <c r="L39" s="17" t="s">
        <v>119</v>
      </c>
    </row>
    <row r="40" spans="1:12" x14ac:dyDescent="0.2">
      <c r="A40" s="1" t="s">
        <v>20</v>
      </c>
      <c r="B40" s="1">
        <v>20</v>
      </c>
      <c r="C40" s="1" t="str">
        <f t="shared" si="0"/>
        <v>ייצור כימיקלים ומוצריהם</v>
      </c>
      <c r="D40" s="1">
        <v>24</v>
      </c>
      <c r="E40" s="2">
        <v>9418.228472222223</v>
      </c>
      <c r="J40" s="18"/>
      <c r="K40" s="18">
        <v>35</v>
      </c>
      <c r="L40" s="19" t="s">
        <v>120</v>
      </c>
    </row>
    <row r="41" spans="1:12" x14ac:dyDescent="0.2">
      <c r="A41" s="1" t="s">
        <v>20</v>
      </c>
      <c r="B41" s="1">
        <v>22</v>
      </c>
      <c r="C41" s="1" t="str">
        <f t="shared" si="0"/>
        <v xml:space="preserve">ייצור מוצרי גומי ופלסטיק </v>
      </c>
      <c r="D41" s="1">
        <v>17</v>
      </c>
      <c r="E41" s="2">
        <v>11168.906149732622</v>
      </c>
      <c r="J41" s="16" t="s">
        <v>5</v>
      </c>
      <c r="K41" s="16"/>
      <c r="L41" s="17" t="s">
        <v>121</v>
      </c>
    </row>
    <row r="42" spans="1:12" x14ac:dyDescent="0.2">
      <c r="A42" s="1" t="s">
        <v>20</v>
      </c>
      <c r="B42" s="1">
        <v>23</v>
      </c>
      <c r="C42" s="1" t="str">
        <f t="shared" si="0"/>
        <v>ייצור מוצרים אחרים על בסיס מינרלים אל-מתכתיים</v>
      </c>
      <c r="D42" s="1">
        <v>29</v>
      </c>
      <c r="E42" s="2">
        <v>14047.508210180622</v>
      </c>
      <c r="J42" s="18"/>
      <c r="K42" s="18">
        <v>36</v>
      </c>
      <c r="L42" s="19" t="s">
        <v>122</v>
      </c>
    </row>
    <row r="43" spans="1:12" x14ac:dyDescent="0.2">
      <c r="A43" s="1" t="s">
        <v>20</v>
      </c>
      <c r="B43" s="1">
        <v>27</v>
      </c>
      <c r="C43" s="1" t="str">
        <f t="shared" si="0"/>
        <v>ייצור ציוד חשמלי</v>
      </c>
      <c r="D43" s="1">
        <v>29</v>
      </c>
      <c r="E43" s="2">
        <v>9360.0385754092658</v>
      </c>
      <c r="J43" s="18"/>
      <c r="K43" s="18">
        <v>37</v>
      </c>
      <c r="L43" s="19" t="s">
        <v>123</v>
      </c>
    </row>
    <row r="44" spans="1:12" x14ac:dyDescent="0.2">
      <c r="A44" s="1" t="s">
        <v>20</v>
      </c>
      <c r="B44" s="1">
        <v>31</v>
      </c>
      <c r="C44" s="1" t="str">
        <f t="shared" si="0"/>
        <v>ייצור רהיטים</v>
      </c>
      <c r="D44" s="1">
        <v>16</v>
      </c>
      <c r="E44" s="2">
        <v>7420.7788036616166</v>
      </c>
      <c r="J44" s="18"/>
      <c r="K44" s="18">
        <v>38</v>
      </c>
      <c r="L44" s="19" t="s">
        <v>124</v>
      </c>
    </row>
    <row r="45" spans="1:12" x14ac:dyDescent="0.2">
      <c r="A45" s="1" t="s">
        <v>20</v>
      </c>
      <c r="B45" s="1">
        <v>32</v>
      </c>
      <c r="C45" s="1" t="str">
        <f t="shared" si="0"/>
        <v>ענפי ייצור אחרים</v>
      </c>
      <c r="D45" s="1">
        <v>96</v>
      </c>
      <c r="E45" s="2">
        <v>9992.3651676737572</v>
      </c>
      <c r="J45" s="18"/>
      <c r="K45" s="18">
        <v>39</v>
      </c>
      <c r="L45" s="19" t="s">
        <v>125</v>
      </c>
    </row>
    <row r="46" spans="1:12" ht="26.25" thickBot="1" x14ac:dyDescent="0.25">
      <c r="A46" s="1" t="s">
        <v>20</v>
      </c>
      <c r="B46" s="1">
        <v>41</v>
      </c>
      <c r="C46" s="1" t="str">
        <f t="shared" si="0"/>
        <v>בניית מבנים ובניינים</v>
      </c>
      <c r="D46" s="1">
        <v>31</v>
      </c>
      <c r="E46" s="2">
        <v>7722.5493855606765</v>
      </c>
      <c r="J46" s="15" t="s">
        <v>79</v>
      </c>
      <c r="K46" s="15" t="s">
        <v>80</v>
      </c>
      <c r="L46" s="15" t="s">
        <v>81</v>
      </c>
    </row>
    <row r="47" spans="1:12" x14ac:dyDescent="0.2">
      <c r="A47" s="1" t="s">
        <v>20</v>
      </c>
      <c r="B47" s="1">
        <v>42</v>
      </c>
      <c r="C47" s="1" t="str">
        <f t="shared" si="0"/>
        <v xml:space="preserve">עבודות הנדסה אזרחית </v>
      </c>
      <c r="D47" s="1">
        <v>20</v>
      </c>
      <c r="E47" s="2">
        <v>14438.492361111112</v>
      </c>
      <c r="J47" s="23" t="s">
        <v>6</v>
      </c>
      <c r="K47" s="23"/>
      <c r="L47" s="24" t="s">
        <v>126</v>
      </c>
    </row>
    <row r="48" spans="1:12" x14ac:dyDescent="0.2">
      <c r="A48" s="1" t="s">
        <v>20</v>
      </c>
      <c r="B48" s="1">
        <v>43</v>
      </c>
      <c r="C48" s="1" t="str">
        <f t="shared" si="0"/>
        <v xml:space="preserve">עבודות בנייה מיוחדות </v>
      </c>
      <c r="D48" s="1">
        <v>50</v>
      </c>
      <c r="E48" s="2">
        <v>7727.0517792207802</v>
      </c>
      <c r="J48" s="18"/>
      <c r="K48" s="18">
        <v>41</v>
      </c>
      <c r="L48" s="19" t="s">
        <v>127</v>
      </c>
    </row>
    <row r="49" spans="1:12" x14ac:dyDescent="0.2">
      <c r="A49" s="1" t="s">
        <v>20</v>
      </c>
      <c r="B49" s="1">
        <v>45</v>
      </c>
      <c r="C49" s="1" t="str">
        <f t="shared" si="0"/>
        <v>מסחר סיטוני וקמעוני בכלי רכב מנועיים ובאופנועים ותיקונם</v>
      </c>
      <c r="D49" s="1">
        <v>24</v>
      </c>
      <c r="E49" s="2">
        <v>8593.7502840909092</v>
      </c>
      <c r="J49" s="18"/>
      <c r="K49" s="18">
        <v>42</v>
      </c>
      <c r="L49" s="19" t="s">
        <v>128</v>
      </c>
    </row>
    <row r="50" spans="1:12" x14ac:dyDescent="0.2">
      <c r="A50" s="1" t="s">
        <v>20</v>
      </c>
      <c r="B50" s="1">
        <v>46</v>
      </c>
      <c r="C50" s="1" t="str">
        <f t="shared" si="0"/>
        <v>מסחר סיטוני, פרט לכלי רכב מנועיים ולאופנועים</v>
      </c>
      <c r="D50" s="1">
        <v>25</v>
      </c>
      <c r="E50" s="2">
        <v>10458.84603174603</v>
      </c>
      <c r="J50" s="18"/>
      <c r="K50" s="18">
        <v>43</v>
      </c>
      <c r="L50" s="19" t="s">
        <v>129</v>
      </c>
    </row>
    <row r="51" spans="1:12" x14ac:dyDescent="0.2">
      <c r="A51" s="1" t="s">
        <v>20</v>
      </c>
      <c r="B51" s="1">
        <v>47</v>
      </c>
      <c r="C51" s="1" t="str">
        <f t="shared" si="0"/>
        <v>מכירה קמעונית, פרט לכלי רכב מנועיים ולאופנועים</v>
      </c>
      <c r="D51" s="1">
        <v>116</v>
      </c>
      <c r="E51" s="2">
        <v>8981.9923200602025</v>
      </c>
      <c r="J51" s="23" t="s">
        <v>7</v>
      </c>
      <c r="K51" s="23"/>
      <c r="L51" s="24" t="s">
        <v>130</v>
      </c>
    </row>
    <row r="52" spans="1:12" x14ac:dyDescent="0.2">
      <c r="A52" s="1" t="s">
        <v>20</v>
      </c>
      <c r="B52" s="1">
        <v>49</v>
      </c>
      <c r="C52" s="1" t="str">
        <f t="shared" si="0"/>
        <v>הובלה יבשתית והובלה באמצעות קווי צינורות</v>
      </c>
      <c r="D52" s="1">
        <v>32</v>
      </c>
      <c r="E52" s="2">
        <v>11753.07072172619</v>
      </c>
      <c r="J52" s="18"/>
      <c r="K52" s="18">
        <v>45</v>
      </c>
      <c r="L52" s="19" t="s">
        <v>131</v>
      </c>
    </row>
    <row r="53" spans="1:12" x14ac:dyDescent="0.2">
      <c r="A53" s="1" t="s">
        <v>20</v>
      </c>
      <c r="B53" s="1">
        <v>55</v>
      </c>
      <c r="C53" s="1" t="str">
        <f t="shared" si="0"/>
        <v>שירותי אירוח</v>
      </c>
      <c r="D53" s="1">
        <v>38</v>
      </c>
      <c r="E53" s="2">
        <v>7724.6200862003489</v>
      </c>
      <c r="J53" s="18"/>
      <c r="K53" s="18">
        <v>46</v>
      </c>
      <c r="L53" s="19" t="s">
        <v>132</v>
      </c>
    </row>
    <row r="54" spans="1:12" x14ac:dyDescent="0.2">
      <c r="A54" s="1" t="s">
        <v>20</v>
      </c>
      <c r="B54" s="1">
        <v>56</v>
      </c>
      <c r="C54" s="1" t="str">
        <f t="shared" si="0"/>
        <v xml:space="preserve">שירותי מזון ומשקאות </v>
      </c>
      <c r="D54" s="1">
        <v>77</v>
      </c>
      <c r="E54" s="2">
        <v>5724.2262532561208</v>
      </c>
      <c r="J54" s="18"/>
      <c r="K54" s="18">
        <v>47</v>
      </c>
      <c r="L54" s="19" t="s">
        <v>133</v>
      </c>
    </row>
    <row r="55" spans="1:12" x14ac:dyDescent="0.2">
      <c r="A55" s="1" t="s">
        <v>20</v>
      </c>
      <c r="B55" s="1">
        <v>62</v>
      </c>
      <c r="C55" s="1" t="str">
        <f t="shared" si="0"/>
        <v>תכנות מחשבים, ייעוץ בתחום המחשבים ושירותים נלווים אחרים</v>
      </c>
      <c r="D55" s="1">
        <v>28</v>
      </c>
      <c r="E55" s="2">
        <v>26978.690592145955</v>
      </c>
      <c r="J55" s="16" t="s">
        <v>8</v>
      </c>
      <c r="K55" s="16"/>
      <c r="L55" s="17" t="s">
        <v>134</v>
      </c>
    </row>
    <row r="56" spans="1:12" x14ac:dyDescent="0.2">
      <c r="A56" s="1" t="s">
        <v>20</v>
      </c>
      <c r="B56" s="1">
        <v>64</v>
      </c>
      <c r="C56" s="1" t="str">
        <f t="shared" si="0"/>
        <v>שירותים פיננסיים, פרט לביטוח ולקרנות פנסיה</v>
      </c>
      <c r="D56" s="1">
        <v>24</v>
      </c>
      <c r="E56" s="2">
        <v>12804.95567279942</v>
      </c>
      <c r="J56" s="18"/>
      <c r="K56" s="18">
        <v>49</v>
      </c>
      <c r="L56" s="19" t="s">
        <v>135</v>
      </c>
    </row>
    <row r="57" spans="1:12" x14ac:dyDescent="0.2">
      <c r="A57" s="1" t="s">
        <v>20</v>
      </c>
      <c r="B57" s="1">
        <v>69</v>
      </c>
      <c r="C57" s="1" t="str">
        <f t="shared" si="0"/>
        <v>שירותים משפטיים ושירותי חשבונאות</v>
      </c>
      <c r="D57" s="1">
        <v>48</v>
      </c>
      <c r="E57" s="2">
        <v>9796.4422371031742</v>
      </c>
      <c r="J57" s="18"/>
      <c r="K57" s="18">
        <v>50</v>
      </c>
      <c r="L57" s="19" t="s">
        <v>136</v>
      </c>
    </row>
    <row r="58" spans="1:12" x14ac:dyDescent="0.2">
      <c r="A58" s="1" t="s">
        <v>20</v>
      </c>
      <c r="B58" s="1">
        <v>71</v>
      </c>
      <c r="C58" s="1" t="str">
        <f t="shared" si="0"/>
        <v>שירותי אדריכלות והנדסה; בדיקות טכניות וניתוח נתונים טכניים</v>
      </c>
      <c r="D58" s="1">
        <v>29</v>
      </c>
      <c r="E58" s="2">
        <v>10478.639272030652</v>
      </c>
      <c r="J58" s="18"/>
      <c r="K58" s="18">
        <v>51</v>
      </c>
      <c r="L58" s="19" t="s">
        <v>137</v>
      </c>
    </row>
    <row r="59" spans="1:12" x14ac:dyDescent="0.2">
      <c r="A59" s="1" t="s">
        <v>20</v>
      </c>
      <c r="B59" s="1">
        <v>78</v>
      </c>
      <c r="C59" s="1" t="str">
        <f t="shared" si="0"/>
        <v>שירותי תעסוקה</v>
      </c>
      <c r="D59" s="1">
        <v>30</v>
      </c>
      <c r="E59" s="2">
        <v>5292.0253571428584</v>
      </c>
      <c r="J59" s="18"/>
      <c r="K59" s="18">
        <v>52</v>
      </c>
      <c r="L59" s="19" t="s">
        <v>138</v>
      </c>
    </row>
    <row r="60" spans="1:12" x14ac:dyDescent="0.2">
      <c r="A60" s="1" t="s">
        <v>20</v>
      </c>
      <c r="B60" s="1">
        <v>81</v>
      </c>
      <c r="C60" s="1" t="str">
        <f t="shared" si="0"/>
        <v>שירותי תחזוקה לבניינים ועבודות גינון</v>
      </c>
      <c r="D60" s="1">
        <v>23</v>
      </c>
      <c r="E60" s="2">
        <v>8016.496963423052</v>
      </c>
      <c r="J60" s="18"/>
      <c r="K60" s="18">
        <v>53</v>
      </c>
      <c r="L60" s="19" t="s">
        <v>139</v>
      </c>
    </row>
    <row r="61" spans="1:12" x14ac:dyDescent="0.2">
      <c r="A61" s="1" t="s">
        <v>20</v>
      </c>
      <c r="B61" s="1">
        <v>82</v>
      </c>
      <c r="C61" s="1" t="str">
        <f t="shared" si="0"/>
        <v>שירותי ניהול ותמיכה למשרדים ולעסקים</v>
      </c>
      <c r="D61" s="1">
        <v>35</v>
      </c>
      <c r="E61" s="2">
        <v>7235.1382282003715</v>
      </c>
      <c r="J61" s="23" t="s">
        <v>9</v>
      </c>
      <c r="K61" s="23"/>
      <c r="L61" s="24" t="s">
        <v>140</v>
      </c>
    </row>
    <row r="62" spans="1:12" x14ac:dyDescent="0.2">
      <c r="A62" s="1" t="s">
        <v>20</v>
      </c>
      <c r="B62" s="1">
        <v>83</v>
      </c>
      <c r="C62" s="1" t="str">
        <f t="shared" si="0"/>
        <v>מינהל מקומי</v>
      </c>
      <c r="D62" s="1">
        <v>77</v>
      </c>
      <c r="E62" s="2">
        <v>11109.131148685366</v>
      </c>
      <c r="J62" s="18"/>
      <c r="K62" s="18">
        <v>55</v>
      </c>
      <c r="L62" s="19" t="s">
        <v>141</v>
      </c>
    </row>
    <row r="63" spans="1:12" x14ac:dyDescent="0.2">
      <c r="A63" s="1" t="s">
        <v>20</v>
      </c>
      <c r="B63" s="1">
        <v>84</v>
      </c>
      <c r="C63" s="1" t="str">
        <f t="shared" si="0"/>
        <v>מינהל ציבורי וביטחון; ביטוח לאומי חובה</v>
      </c>
      <c r="D63" s="1">
        <v>89</v>
      </c>
      <c r="E63" s="2">
        <v>19219.716117839715</v>
      </c>
      <c r="J63" s="18"/>
      <c r="K63" s="18">
        <v>56</v>
      </c>
      <c r="L63" s="19" t="s">
        <v>142</v>
      </c>
    </row>
    <row r="64" spans="1:12" x14ac:dyDescent="0.2">
      <c r="A64" s="1" t="s">
        <v>20</v>
      </c>
      <c r="B64" s="1">
        <v>85</v>
      </c>
      <c r="C64" s="1" t="str">
        <f t="shared" si="0"/>
        <v>חינוך</v>
      </c>
      <c r="D64" s="1">
        <v>126</v>
      </c>
      <c r="E64" s="2">
        <v>14027.574349790419</v>
      </c>
      <c r="J64" s="16" t="s">
        <v>10</v>
      </c>
      <c r="K64" s="16"/>
      <c r="L64" s="17" t="s">
        <v>143</v>
      </c>
    </row>
    <row r="65" spans="1:12" x14ac:dyDescent="0.2">
      <c r="A65" s="1" t="s">
        <v>20</v>
      </c>
      <c r="B65" s="1">
        <v>86</v>
      </c>
      <c r="C65" s="1" t="str">
        <f t="shared" si="0"/>
        <v>שירותי בריאות</v>
      </c>
      <c r="D65" s="1">
        <v>84</v>
      </c>
      <c r="E65" s="2">
        <v>15392.531676887927</v>
      </c>
      <c r="J65" s="18"/>
      <c r="K65" s="18">
        <v>58</v>
      </c>
      <c r="L65" s="19" t="s">
        <v>144</v>
      </c>
    </row>
    <row r="66" spans="1:12" ht="25.5" x14ac:dyDescent="0.2">
      <c r="A66" s="1" t="s">
        <v>20</v>
      </c>
      <c r="B66" s="1">
        <v>87</v>
      </c>
      <c r="C66" s="1" t="str">
        <f t="shared" si="0"/>
        <v>מגורים טיפוליים</v>
      </c>
      <c r="D66" s="1">
        <v>14</v>
      </c>
      <c r="E66" s="2">
        <v>9601.2898809523795</v>
      </c>
      <c r="J66" s="18"/>
      <c r="K66" s="20">
        <v>59</v>
      </c>
      <c r="L66" s="19" t="s">
        <v>145</v>
      </c>
    </row>
    <row r="67" spans="1:12" x14ac:dyDescent="0.2">
      <c r="A67" s="1" t="s">
        <v>20</v>
      </c>
      <c r="B67" s="1">
        <v>88</v>
      </c>
      <c r="C67" s="1" t="str">
        <f t="shared" ref="C67:C130" si="1">INDEX(L:L,MATCH(B67,K:K,0))</f>
        <v>שירותי רווחה וסעד ללא מגורים</v>
      </c>
      <c r="D67" s="1">
        <v>78</v>
      </c>
      <c r="E67" s="2">
        <v>4693.0958892958897</v>
      </c>
      <c r="J67" s="18"/>
      <c r="K67" s="18">
        <v>60</v>
      </c>
      <c r="L67" s="19" t="s">
        <v>146</v>
      </c>
    </row>
    <row r="68" spans="1:12" x14ac:dyDescent="0.2">
      <c r="A68" s="1" t="s">
        <v>20</v>
      </c>
      <c r="B68" s="1">
        <v>93</v>
      </c>
      <c r="C68" s="1" t="str">
        <f t="shared" si="1"/>
        <v>פעילויות ספורט, בילוי ופנאי</v>
      </c>
      <c r="D68" s="1">
        <v>15</v>
      </c>
      <c r="E68" s="2">
        <v>5425.9435569985571</v>
      </c>
      <c r="J68" s="18"/>
      <c r="K68" s="18">
        <v>61</v>
      </c>
      <c r="L68" s="19" t="s">
        <v>147</v>
      </c>
    </row>
    <row r="69" spans="1:12" x14ac:dyDescent="0.2">
      <c r="A69" s="1" t="s">
        <v>20</v>
      </c>
      <c r="B69" s="1">
        <v>94</v>
      </c>
      <c r="C69" s="1" t="str">
        <f t="shared" si="1"/>
        <v>פעילויות של ארגוני חברים</v>
      </c>
      <c r="D69" s="1">
        <v>32</v>
      </c>
      <c r="E69" s="2">
        <v>11157.447916666668</v>
      </c>
      <c r="J69" s="18"/>
      <c r="K69" s="18">
        <v>62</v>
      </c>
      <c r="L69" s="19" t="s">
        <v>148</v>
      </c>
    </row>
    <row r="70" spans="1:12" x14ac:dyDescent="0.2">
      <c r="A70" s="1" t="s">
        <v>21</v>
      </c>
      <c r="B70" s="1">
        <v>1</v>
      </c>
      <c r="C70" s="1" t="str">
        <f t="shared" si="1"/>
        <v>גידולים צמחיים</v>
      </c>
      <c r="D70" s="1">
        <v>1142</v>
      </c>
      <c r="E70" s="2">
        <v>7674.4160422400137</v>
      </c>
      <c r="J70" s="18"/>
      <c r="K70" s="18">
        <v>63</v>
      </c>
      <c r="L70" s="19" t="s">
        <v>149</v>
      </c>
    </row>
    <row r="71" spans="1:12" x14ac:dyDescent="0.2">
      <c r="A71" s="1" t="s">
        <v>21</v>
      </c>
      <c r="B71" s="1">
        <v>4</v>
      </c>
      <c r="C71" s="1" t="str">
        <f t="shared" si="1"/>
        <v>גידול בעלי חיים, ציד ופעילויות נלוות</v>
      </c>
      <c r="D71" s="1">
        <v>185</v>
      </c>
      <c r="E71" s="2">
        <v>8792.7488806988749</v>
      </c>
      <c r="J71" s="16" t="s">
        <v>11</v>
      </c>
      <c r="K71" s="16"/>
      <c r="L71" s="17" t="s">
        <v>150</v>
      </c>
    </row>
    <row r="72" spans="1:12" x14ac:dyDescent="0.2">
      <c r="A72" s="1" t="s">
        <v>21</v>
      </c>
      <c r="B72" s="1">
        <v>10</v>
      </c>
      <c r="C72" s="1" t="str">
        <f t="shared" si="1"/>
        <v>ייצור מוצרי מזון</v>
      </c>
      <c r="D72" s="1">
        <v>154</v>
      </c>
      <c r="E72" s="2">
        <v>12118.038842740954</v>
      </c>
      <c r="J72" s="18"/>
      <c r="K72" s="18">
        <v>64</v>
      </c>
      <c r="L72" s="19" t="s">
        <v>151</v>
      </c>
    </row>
    <row r="73" spans="1:12" x14ac:dyDescent="0.2">
      <c r="A73" s="1" t="s">
        <v>21</v>
      </c>
      <c r="B73" s="1">
        <v>11</v>
      </c>
      <c r="C73" s="1" t="str">
        <f t="shared" si="1"/>
        <v>ייצור משקאות</v>
      </c>
      <c r="D73" s="1">
        <v>158</v>
      </c>
      <c r="E73" s="2">
        <v>8599.1202485980975</v>
      </c>
      <c r="J73" s="18"/>
      <c r="K73" s="18">
        <v>65</v>
      </c>
      <c r="L73" s="19" t="s">
        <v>152</v>
      </c>
    </row>
    <row r="74" spans="1:12" x14ac:dyDescent="0.2">
      <c r="A74" s="1" t="s">
        <v>21</v>
      </c>
      <c r="B74" s="1">
        <v>13</v>
      </c>
      <c r="C74" s="1" t="str">
        <f t="shared" si="1"/>
        <v>ייצור טקסטיל</v>
      </c>
      <c r="D74" s="1">
        <v>13</v>
      </c>
      <c r="E74" s="2">
        <v>12663.374236874235</v>
      </c>
      <c r="J74" s="18"/>
      <c r="K74" s="18">
        <v>66</v>
      </c>
      <c r="L74" s="19" t="s">
        <v>153</v>
      </c>
    </row>
    <row r="75" spans="1:12" x14ac:dyDescent="0.2">
      <c r="A75" s="1" t="s">
        <v>21</v>
      </c>
      <c r="B75" s="1">
        <v>20</v>
      </c>
      <c r="C75" s="1" t="str">
        <f t="shared" si="1"/>
        <v>ייצור כימיקלים ומוצריהם</v>
      </c>
      <c r="D75" s="1">
        <v>43</v>
      </c>
      <c r="E75" s="2">
        <v>14057.96423537703</v>
      </c>
      <c r="J75" s="16" t="s">
        <v>12</v>
      </c>
      <c r="K75" s="16"/>
      <c r="L75" s="17" t="s">
        <v>154</v>
      </c>
    </row>
    <row r="76" spans="1:12" x14ac:dyDescent="0.2">
      <c r="A76" s="1" t="s">
        <v>21</v>
      </c>
      <c r="B76" s="1">
        <v>22</v>
      </c>
      <c r="C76" s="1" t="str">
        <f t="shared" si="1"/>
        <v xml:space="preserve">ייצור מוצרי גומי ופלסטיק </v>
      </c>
      <c r="D76" s="1">
        <v>61</v>
      </c>
      <c r="E76" s="2">
        <v>20150.189298724956</v>
      </c>
      <c r="J76" s="18"/>
      <c r="K76" s="18">
        <v>68</v>
      </c>
      <c r="L76" s="19" t="s">
        <v>154</v>
      </c>
    </row>
    <row r="77" spans="1:12" x14ac:dyDescent="0.2">
      <c r="A77" s="1" t="s">
        <v>21</v>
      </c>
      <c r="B77" s="1">
        <v>23</v>
      </c>
      <c r="C77" s="1" t="str">
        <f t="shared" si="1"/>
        <v>ייצור מוצרים אחרים על בסיס מינרלים אל-מתכתיים</v>
      </c>
      <c r="D77" s="1">
        <v>36</v>
      </c>
      <c r="E77" s="2">
        <v>12765.025432900433</v>
      </c>
      <c r="J77" s="23" t="s">
        <v>13</v>
      </c>
      <c r="K77" s="23"/>
      <c r="L77" s="24" t="s">
        <v>155</v>
      </c>
    </row>
    <row r="78" spans="1:12" x14ac:dyDescent="0.2">
      <c r="A78" s="1" t="s">
        <v>21</v>
      </c>
      <c r="B78" s="1">
        <v>26</v>
      </c>
      <c r="C78" s="1" t="str">
        <f t="shared" si="1"/>
        <v>ייצור מחשבים, מכשור אלקטרוני ואופטי</v>
      </c>
      <c r="D78" s="1">
        <v>63</v>
      </c>
      <c r="E78" s="2">
        <v>21658.038775510195</v>
      </c>
      <c r="J78" s="18"/>
      <c r="K78" s="18">
        <v>69</v>
      </c>
      <c r="L78" s="19" t="s">
        <v>156</v>
      </c>
    </row>
    <row r="79" spans="1:12" x14ac:dyDescent="0.2">
      <c r="A79" s="1" t="s">
        <v>21</v>
      </c>
      <c r="B79" s="1">
        <v>27</v>
      </c>
      <c r="C79" s="1" t="str">
        <f t="shared" si="1"/>
        <v>ייצור ציוד חשמלי</v>
      </c>
      <c r="D79" s="1">
        <v>167</v>
      </c>
      <c r="E79" s="2">
        <v>15561.992754534222</v>
      </c>
      <c r="J79" s="18"/>
      <c r="K79" s="18">
        <v>70</v>
      </c>
      <c r="L79" s="19" t="s">
        <v>157</v>
      </c>
    </row>
    <row r="80" spans="1:12" x14ac:dyDescent="0.2">
      <c r="A80" s="1" t="s">
        <v>21</v>
      </c>
      <c r="B80" s="1">
        <v>29</v>
      </c>
      <c r="C80" s="1" t="str">
        <f t="shared" si="1"/>
        <v xml:space="preserve">ייצור כלי רכב מנועיים ונגררים </v>
      </c>
      <c r="D80" s="1">
        <v>36</v>
      </c>
      <c r="E80" s="2">
        <v>23017.597222222223</v>
      </c>
      <c r="J80" s="18"/>
      <c r="K80" s="18">
        <v>71</v>
      </c>
      <c r="L80" s="19" t="s">
        <v>158</v>
      </c>
    </row>
    <row r="81" spans="1:12" x14ac:dyDescent="0.2">
      <c r="A81" s="1" t="s">
        <v>21</v>
      </c>
      <c r="B81" s="1">
        <v>31</v>
      </c>
      <c r="C81" s="1" t="str">
        <f t="shared" si="1"/>
        <v>ייצור רהיטים</v>
      </c>
      <c r="D81" s="1">
        <v>11</v>
      </c>
      <c r="E81" s="2">
        <v>10478.789393939396</v>
      </c>
      <c r="J81" s="18"/>
      <c r="K81" s="18">
        <v>72</v>
      </c>
      <c r="L81" s="19" t="s">
        <v>159</v>
      </c>
    </row>
    <row r="82" spans="1:12" x14ac:dyDescent="0.2">
      <c r="A82" s="1" t="s">
        <v>21</v>
      </c>
      <c r="B82" s="1">
        <v>32</v>
      </c>
      <c r="C82" s="1" t="str">
        <f t="shared" si="1"/>
        <v>ענפי ייצור אחרים</v>
      </c>
      <c r="D82" s="1">
        <v>46</v>
      </c>
      <c r="E82" s="2">
        <v>15723.632630654367</v>
      </c>
      <c r="J82" s="18"/>
      <c r="K82" s="18">
        <v>73</v>
      </c>
      <c r="L82" s="19" t="s">
        <v>160</v>
      </c>
    </row>
    <row r="83" spans="1:12" x14ac:dyDescent="0.2">
      <c r="A83" s="1" t="s">
        <v>21</v>
      </c>
      <c r="B83" s="1">
        <v>33</v>
      </c>
      <c r="C83" s="1" t="str">
        <f t="shared" si="1"/>
        <v>תיקון, תחזוקה והתקנה של מכונות וציוד</v>
      </c>
      <c r="D83" s="1">
        <v>17</v>
      </c>
      <c r="E83" s="2">
        <v>19096.02874331551</v>
      </c>
      <c r="J83" s="18"/>
      <c r="K83" s="18">
        <v>74</v>
      </c>
      <c r="L83" s="19" t="s">
        <v>161</v>
      </c>
    </row>
    <row r="84" spans="1:12" x14ac:dyDescent="0.2">
      <c r="A84" s="1" t="s">
        <v>21</v>
      </c>
      <c r="B84" s="1">
        <v>35</v>
      </c>
      <c r="C84" s="1" t="str">
        <f t="shared" si="1"/>
        <v>אספקת חשמל, גז, קיטור ומיזוג אוויר (קירור)</v>
      </c>
      <c r="D84" s="1">
        <v>16</v>
      </c>
      <c r="E84" s="2">
        <v>15563.890625000002</v>
      </c>
      <c r="J84" s="18"/>
      <c r="K84" s="18">
        <v>75</v>
      </c>
      <c r="L84" s="19" t="s">
        <v>162</v>
      </c>
    </row>
    <row r="85" spans="1:12" x14ac:dyDescent="0.2">
      <c r="A85" s="1" t="s">
        <v>21</v>
      </c>
      <c r="B85" s="1">
        <v>36</v>
      </c>
      <c r="C85" s="1" t="str">
        <f t="shared" si="1"/>
        <v>אגירת מים, טיפול ואספקה</v>
      </c>
      <c r="D85" s="1">
        <v>31</v>
      </c>
      <c r="E85" s="2">
        <v>21189.402899967416</v>
      </c>
      <c r="J85" s="16" t="s">
        <v>14</v>
      </c>
      <c r="K85" s="16"/>
      <c r="L85" s="17" t="s">
        <v>163</v>
      </c>
    </row>
    <row r="86" spans="1:12" x14ac:dyDescent="0.2">
      <c r="A86" s="1" t="s">
        <v>21</v>
      </c>
      <c r="B86" s="1">
        <v>37</v>
      </c>
      <c r="C86" s="1" t="str">
        <f t="shared" si="1"/>
        <v>שירותי ביוב</v>
      </c>
      <c r="D86" s="1">
        <v>24</v>
      </c>
      <c r="E86" s="2">
        <v>15866.04892676768</v>
      </c>
      <c r="J86" s="18"/>
      <c r="K86" s="18">
        <v>77</v>
      </c>
      <c r="L86" s="19" t="s">
        <v>164</v>
      </c>
    </row>
    <row r="87" spans="1:12" x14ac:dyDescent="0.2">
      <c r="A87" s="1" t="s">
        <v>21</v>
      </c>
      <c r="B87" s="1">
        <v>41</v>
      </c>
      <c r="C87" s="1" t="str">
        <f t="shared" si="1"/>
        <v>בניית מבנים ובניינים</v>
      </c>
      <c r="D87" s="1">
        <v>82</v>
      </c>
      <c r="E87" s="2">
        <v>14544.230802361601</v>
      </c>
      <c r="J87" s="18"/>
      <c r="K87" s="18">
        <v>78</v>
      </c>
      <c r="L87" s="19" t="s">
        <v>165</v>
      </c>
    </row>
    <row r="88" spans="1:12" x14ac:dyDescent="0.2">
      <c r="A88" s="1" t="s">
        <v>21</v>
      </c>
      <c r="B88" s="1">
        <v>42</v>
      </c>
      <c r="C88" s="1" t="str">
        <f t="shared" si="1"/>
        <v xml:space="preserve">עבודות הנדסה אזרחית </v>
      </c>
      <c r="D88" s="1">
        <v>42</v>
      </c>
      <c r="E88" s="2">
        <v>16442.382176355393</v>
      </c>
      <c r="J88" s="18"/>
      <c r="K88" s="18">
        <v>79</v>
      </c>
      <c r="L88" s="19" t="s">
        <v>166</v>
      </c>
    </row>
    <row r="89" spans="1:12" x14ac:dyDescent="0.2">
      <c r="A89" s="1" t="s">
        <v>21</v>
      </c>
      <c r="B89" s="1">
        <v>43</v>
      </c>
      <c r="C89" s="1" t="str">
        <f t="shared" si="1"/>
        <v xml:space="preserve">עבודות בנייה מיוחדות </v>
      </c>
      <c r="D89" s="1">
        <v>112</v>
      </c>
      <c r="E89" s="2">
        <v>11061.827969426407</v>
      </c>
      <c r="J89" s="18"/>
      <c r="K89" s="18">
        <v>80</v>
      </c>
      <c r="L89" s="19" t="s">
        <v>167</v>
      </c>
    </row>
    <row r="90" spans="1:12" x14ac:dyDescent="0.2">
      <c r="A90" s="1" t="s">
        <v>21</v>
      </c>
      <c r="B90" s="1">
        <v>45</v>
      </c>
      <c r="C90" s="1" t="str">
        <f t="shared" si="1"/>
        <v>מסחר סיטוני וקמעוני בכלי רכב מנועיים ובאופנועים ותיקונם</v>
      </c>
      <c r="D90" s="1">
        <v>55</v>
      </c>
      <c r="E90" s="2">
        <v>14267.864011544012</v>
      </c>
      <c r="J90" s="18"/>
      <c r="K90" s="18">
        <v>81</v>
      </c>
      <c r="L90" s="19" t="s">
        <v>168</v>
      </c>
    </row>
    <row r="91" spans="1:12" x14ac:dyDescent="0.2">
      <c r="A91" s="1" t="s">
        <v>21</v>
      </c>
      <c r="B91" s="1">
        <v>46</v>
      </c>
      <c r="C91" s="1" t="str">
        <f t="shared" si="1"/>
        <v>מסחר סיטוני, פרט לכלי רכב מנועיים ולאופנועים</v>
      </c>
      <c r="D91" s="1">
        <v>202</v>
      </c>
      <c r="E91" s="2">
        <v>15612.566539689684</v>
      </c>
      <c r="J91" s="18"/>
      <c r="K91" s="18">
        <v>82</v>
      </c>
      <c r="L91" s="19" t="s">
        <v>169</v>
      </c>
    </row>
    <row r="92" spans="1:12" ht="26.25" thickBot="1" x14ac:dyDescent="0.25">
      <c r="A92" s="1" t="s">
        <v>21</v>
      </c>
      <c r="B92" s="1">
        <v>47</v>
      </c>
      <c r="C92" s="1" t="str">
        <f t="shared" si="1"/>
        <v>מכירה קמעונית, פרט לכלי רכב מנועיים ולאופנועים</v>
      </c>
      <c r="D92" s="1">
        <v>270</v>
      </c>
      <c r="E92" s="2">
        <v>7655.8749337288236</v>
      </c>
      <c r="J92" s="15" t="s">
        <v>79</v>
      </c>
      <c r="K92" s="15" t="s">
        <v>80</v>
      </c>
      <c r="L92" s="15" t="s">
        <v>81</v>
      </c>
    </row>
    <row r="93" spans="1:12" x14ac:dyDescent="0.2">
      <c r="A93" s="1" t="s">
        <v>21</v>
      </c>
      <c r="B93" s="1">
        <v>49</v>
      </c>
      <c r="C93" s="1" t="str">
        <f t="shared" si="1"/>
        <v>הובלה יבשתית והובלה באמצעות קווי צינורות</v>
      </c>
      <c r="D93" s="1">
        <v>49</v>
      </c>
      <c r="E93" s="2">
        <v>12739.053385163588</v>
      </c>
      <c r="J93" s="16" t="s">
        <v>15</v>
      </c>
      <c r="K93" s="16"/>
      <c r="L93" s="17" t="s">
        <v>170</v>
      </c>
    </row>
    <row r="94" spans="1:12" x14ac:dyDescent="0.2">
      <c r="A94" s="1" t="s">
        <v>21</v>
      </c>
      <c r="B94" s="1">
        <v>52</v>
      </c>
      <c r="C94" s="1" t="str">
        <f t="shared" si="1"/>
        <v>אחסנה ושירותי עזר לתחבורה</v>
      </c>
      <c r="D94" s="1">
        <v>38</v>
      </c>
      <c r="E94" s="2">
        <v>15226.982860560494</v>
      </c>
      <c r="J94" s="18"/>
      <c r="K94" s="18">
        <v>83</v>
      </c>
      <c r="L94" s="19" t="s">
        <v>171</v>
      </c>
    </row>
    <row r="95" spans="1:12" x14ac:dyDescent="0.2">
      <c r="A95" s="1" t="s">
        <v>21</v>
      </c>
      <c r="B95" s="1">
        <v>55</v>
      </c>
      <c r="C95" s="1" t="str">
        <f t="shared" si="1"/>
        <v>שירותי אירוח</v>
      </c>
      <c r="D95" s="1">
        <v>372</v>
      </c>
      <c r="E95" s="2">
        <v>7119.1273669878528</v>
      </c>
      <c r="J95" s="18"/>
      <c r="K95" s="18">
        <v>84</v>
      </c>
      <c r="L95" s="19" t="s">
        <v>172</v>
      </c>
    </row>
    <row r="96" spans="1:12" x14ac:dyDescent="0.2">
      <c r="A96" s="1" t="s">
        <v>21</v>
      </c>
      <c r="B96" s="1">
        <v>56</v>
      </c>
      <c r="C96" s="1" t="str">
        <f t="shared" si="1"/>
        <v xml:space="preserve">שירותי מזון ומשקאות </v>
      </c>
      <c r="D96" s="1">
        <v>419</v>
      </c>
      <c r="E96" s="2">
        <v>4901.8668473001417</v>
      </c>
      <c r="J96" s="16" t="s">
        <v>16</v>
      </c>
      <c r="K96" s="16"/>
      <c r="L96" s="17" t="s">
        <v>173</v>
      </c>
    </row>
    <row r="97" spans="1:12" x14ac:dyDescent="0.2">
      <c r="A97" s="1" t="s">
        <v>21</v>
      </c>
      <c r="B97" s="1">
        <v>59</v>
      </c>
      <c r="C97" s="1" t="str">
        <f t="shared" si="1"/>
        <v xml:space="preserve">הפקה, פוסט-פרודקשן והפצה של סרטי קולנוע, סרטי וידאו, תכניות טלוויזיה, הקלטה
 והוצאה לאור של קול ומוזיקה </v>
      </c>
      <c r="D97" s="1">
        <v>27</v>
      </c>
      <c r="E97" s="2">
        <v>25307.519753086424</v>
      </c>
      <c r="J97" s="18"/>
      <c r="K97" s="18">
        <v>85</v>
      </c>
      <c r="L97" s="19" t="s">
        <v>173</v>
      </c>
    </row>
    <row r="98" spans="1:12" x14ac:dyDescent="0.2">
      <c r="A98" s="1" t="s">
        <v>21</v>
      </c>
      <c r="B98" s="1">
        <v>61</v>
      </c>
      <c r="C98" s="1" t="str">
        <f t="shared" si="1"/>
        <v>שירותי תקשורת</v>
      </c>
      <c r="D98" s="1">
        <v>16</v>
      </c>
      <c r="E98" s="2">
        <v>13269.558806818182</v>
      </c>
      <c r="J98" s="16" t="s">
        <v>17</v>
      </c>
      <c r="K98" s="16"/>
      <c r="L98" s="17" t="s">
        <v>174</v>
      </c>
    </row>
    <row r="99" spans="1:12" x14ac:dyDescent="0.2">
      <c r="A99" s="1" t="s">
        <v>21</v>
      </c>
      <c r="B99" s="1">
        <v>62</v>
      </c>
      <c r="C99" s="1" t="str">
        <f t="shared" si="1"/>
        <v>תכנות מחשבים, ייעוץ בתחום המחשבים ושירותים נלווים אחרים</v>
      </c>
      <c r="D99" s="1">
        <v>282</v>
      </c>
      <c r="E99" s="2">
        <v>21812.980410232001</v>
      </c>
      <c r="J99" s="18"/>
      <c r="K99" s="18">
        <v>86</v>
      </c>
      <c r="L99" s="19" t="s">
        <v>175</v>
      </c>
    </row>
    <row r="100" spans="1:12" x14ac:dyDescent="0.2">
      <c r="A100" s="1" t="s">
        <v>21</v>
      </c>
      <c r="B100" s="1">
        <v>64</v>
      </c>
      <c r="C100" s="1" t="str">
        <f t="shared" si="1"/>
        <v>שירותים פיננסיים, פרט לביטוח ולקרנות פנסיה</v>
      </c>
      <c r="D100" s="1">
        <v>104</v>
      </c>
      <c r="E100" s="2">
        <v>15832.498224345092</v>
      </c>
      <c r="J100" s="18"/>
      <c r="K100" s="18">
        <v>87</v>
      </c>
      <c r="L100" s="19" t="s">
        <v>176</v>
      </c>
    </row>
    <row r="101" spans="1:12" x14ac:dyDescent="0.2">
      <c r="A101" s="1" t="s">
        <v>21</v>
      </c>
      <c r="B101" s="1">
        <v>68</v>
      </c>
      <c r="C101" s="1" t="str">
        <f t="shared" si="1"/>
        <v>פעילויות בנדל"ן</v>
      </c>
      <c r="D101" s="1">
        <v>38</v>
      </c>
      <c r="E101" s="2">
        <v>13172.282414369256</v>
      </c>
      <c r="J101" s="18"/>
      <c r="K101" s="18">
        <v>88</v>
      </c>
      <c r="L101" s="19" t="s">
        <v>177</v>
      </c>
    </row>
    <row r="102" spans="1:12" x14ac:dyDescent="0.2">
      <c r="A102" s="1" t="s">
        <v>21</v>
      </c>
      <c r="B102" s="1">
        <v>69</v>
      </c>
      <c r="C102" s="1" t="str">
        <f t="shared" si="1"/>
        <v>שירותים משפטיים ושירותי חשבונאות</v>
      </c>
      <c r="D102" s="1">
        <v>74</v>
      </c>
      <c r="E102" s="2">
        <v>11520.152292227291</v>
      </c>
      <c r="J102" s="16" t="s">
        <v>18</v>
      </c>
      <c r="K102" s="16"/>
      <c r="L102" s="17" t="s">
        <v>178</v>
      </c>
    </row>
    <row r="103" spans="1:12" x14ac:dyDescent="0.2">
      <c r="A103" s="1" t="s">
        <v>21</v>
      </c>
      <c r="B103" s="1">
        <v>70</v>
      </c>
      <c r="C103" s="1" t="str">
        <f t="shared" si="1"/>
        <v>שירותי משרדים ראשיים; שירותי ייעוץ ניהולי</v>
      </c>
      <c r="D103" s="1">
        <v>154</v>
      </c>
      <c r="E103" s="2">
        <v>15483.074345730021</v>
      </c>
      <c r="J103" s="18"/>
      <c r="K103" s="18">
        <v>90</v>
      </c>
      <c r="L103" s="19" t="s">
        <v>179</v>
      </c>
    </row>
    <row r="104" spans="1:12" x14ac:dyDescent="0.2">
      <c r="A104" s="1" t="s">
        <v>21</v>
      </c>
      <c r="B104" s="1">
        <v>71</v>
      </c>
      <c r="C104" s="1" t="str">
        <f t="shared" si="1"/>
        <v>שירותי אדריכלות והנדסה; בדיקות טכניות וניתוח נתונים טכניים</v>
      </c>
      <c r="D104" s="1">
        <v>141</v>
      </c>
      <c r="E104" s="2">
        <v>14385.84051456817</v>
      </c>
      <c r="J104" s="18"/>
      <c r="K104" s="18">
        <v>91</v>
      </c>
      <c r="L104" s="19" t="s">
        <v>180</v>
      </c>
    </row>
    <row r="105" spans="1:12" x14ac:dyDescent="0.2">
      <c r="A105" s="1" t="s">
        <v>21</v>
      </c>
      <c r="B105" s="1">
        <v>72</v>
      </c>
      <c r="C105" s="1" t="str">
        <f t="shared" si="1"/>
        <v>מחקר מדעי ופיתוח</v>
      </c>
      <c r="D105" s="1">
        <v>147</v>
      </c>
      <c r="E105" s="2">
        <v>19771.042972484804</v>
      </c>
      <c r="J105" s="18"/>
      <c r="K105" s="18">
        <v>92</v>
      </c>
      <c r="L105" s="19" t="s">
        <v>181</v>
      </c>
    </row>
    <row r="106" spans="1:12" x14ac:dyDescent="0.2">
      <c r="A106" s="1" t="s">
        <v>21</v>
      </c>
      <c r="B106" s="1">
        <v>73</v>
      </c>
      <c r="C106" s="1" t="str">
        <f t="shared" si="1"/>
        <v>פרסום וחקר שווקים</v>
      </c>
      <c r="D106" s="1">
        <v>41</v>
      </c>
      <c r="E106" s="2">
        <v>10725.718834688347</v>
      </c>
      <c r="J106" s="18"/>
      <c r="K106" s="18">
        <v>93</v>
      </c>
      <c r="L106" s="19" t="s">
        <v>182</v>
      </c>
    </row>
    <row r="107" spans="1:12" x14ac:dyDescent="0.2">
      <c r="A107" s="1" t="s">
        <v>21</v>
      </c>
      <c r="B107" s="1">
        <v>74</v>
      </c>
      <c r="C107" s="1" t="str">
        <f t="shared" si="1"/>
        <v>סוגים אחרים של שירותים מקצועיים, מדעיים וטכניים</v>
      </c>
      <c r="D107" s="1">
        <v>56</v>
      </c>
      <c r="E107" s="2">
        <v>12486.766175788498</v>
      </c>
      <c r="J107" s="16" t="s">
        <v>19</v>
      </c>
      <c r="K107" s="16"/>
      <c r="L107" s="17" t="s">
        <v>183</v>
      </c>
    </row>
    <row r="108" spans="1:12" x14ac:dyDescent="0.2">
      <c r="A108" s="1" t="s">
        <v>21</v>
      </c>
      <c r="B108" s="1">
        <v>77</v>
      </c>
      <c r="C108" s="1" t="str">
        <f t="shared" si="1"/>
        <v>שירותי השכרה והחכרה</v>
      </c>
      <c r="D108" s="1">
        <v>20</v>
      </c>
      <c r="E108" s="2">
        <v>7329.4817063492064</v>
      </c>
      <c r="J108" s="18"/>
      <c r="K108" s="18">
        <v>94</v>
      </c>
      <c r="L108" s="19" t="s">
        <v>184</v>
      </c>
    </row>
    <row r="109" spans="1:12" x14ac:dyDescent="0.2">
      <c r="A109" s="1" t="s">
        <v>21</v>
      </c>
      <c r="B109" s="1">
        <v>78</v>
      </c>
      <c r="C109" s="1" t="str">
        <f t="shared" si="1"/>
        <v>שירותי תעסוקה</v>
      </c>
      <c r="D109" s="1">
        <v>36</v>
      </c>
      <c r="E109" s="2">
        <v>8881.1290764790738</v>
      </c>
      <c r="J109" s="18"/>
      <c r="K109" s="18">
        <v>95</v>
      </c>
      <c r="L109" s="19" t="s">
        <v>185</v>
      </c>
    </row>
    <row r="110" spans="1:12" x14ac:dyDescent="0.2">
      <c r="A110" s="1" t="s">
        <v>21</v>
      </c>
      <c r="B110" s="1">
        <v>79</v>
      </c>
      <c r="C110" s="1" t="str">
        <f t="shared" si="1"/>
        <v>פעילויות של סוכנויות נסיעות, מארגני טיולים, הזמנות ושירותים נלווים</v>
      </c>
      <c r="D110" s="1">
        <v>80</v>
      </c>
      <c r="E110" s="2">
        <v>10213.559499007937</v>
      </c>
      <c r="J110" s="18"/>
      <c r="K110" s="18">
        <v>96</v>
      </c>
      <c r="L110" s="19" t="s">
        <v>186</v>
      </c>
    </row>
    <row r="111" spans="1:12" x14ac:dyDescent="0.2">
      <c r="A111" s="1" t="s">
        <v>21</v>
      </c>
      <c r="B111" s="1">
        <v>80</v>
      </c>
      <c r="C111" s="1" t="str">
        <f t="shared" si="1"/>
        <v>שירותי שמירה, אבטחה וחקירה</v>
      </c>
      <c r="D111" s="1">
        <v>69</v>
      </c>
      <c r="E111" s="2">
        <v>9472.4909399376829</v>
      </c>
      <c r="J111" s="16" t="s">
        <v>187</v>
      </c>
      <c r="K111" s="16"/>
      <c r="L111" s="17" t="s">
        <v>188</v>
      </c>
    </row>
    <row r="112" spans="1:12" x14ac:dyDescent="0.2">
      <c r="A112" s="1" t="s">
        <v>21</v>
      </c>
      <c r="B112" s="1">
        <v>81</v>
      </c>
      <c r="C112" s="1" t="str">
        <f t="shared" si="1"/>
        <v>שירותי תחזוקה לבניינים ועבודות גינון</v>
      </c>
      <c r="D112" s="1">
        <v>92</v>
      </c>
      <c r="E112" s="2">
        <v>7174.8136269527595</v>
      </c>
      <c r="J112" s="18"/>
      <c r="K112" s="18">
        <v>97</v>
      </c>
      <c r="L112" s="19" t="s">
        <v>189</v>
      </c>
    </row>
    <row r="113" spans="1:12" x14ac:dyDescent="0.2">
      <c r="A113" s="1" t="s">
        <v>21</v>
      </c>
      <c r="B113" s="1">
        <v>82</v>
      </c>
      <c r="C113" s="1" t="str">
        <f t="shared" si="1"/>
        <v>שירותי ניהול ותמיכה למשרדים ולעסקים</v>
      </c>
      <c r="D113" s="1">
        <v>40</v>
      </c>
      <c r="E113" s="2">
        <v>11540.971435786434</v>
      </c>
      <c r="J113" s="18"/>
      <c r="K113" s="18">
        <v>98</v>
      </c>
      <c r="L113" s="19" t="s">
        <v>190</v>
      </c>
    </row>
    <row r="114" spans="1:12" x14ac:dyDescent="0.2">
      <c r="A114" s="1" t="s">
        <v>21</v>
      </c>
      <c r="B114" s="1">
        <v>83</v>
      </c>
      <c r="C114" s="1" t="str">
        <f t="shared" si="1"/>
        <v>מינהל מקומי</v>
      </c>
      <c r="D114" s="1">
        <v>658</v>
      </c>
      <c r="E114" s="2">
        <v>7801.0924193081519</v>
      </c>
      <c r="J114" s="16" t="s">
        <v>41</v>
      </c>
      <c r="K114" s="16"/>
      <c r="L114" s="17" t="s">
        <v>191</v>
      </c>
    </row>
    <row r="115" spans="1:12" x14ac:dyDescent="0.2">
      <c r="A115" s="1" t="s">
        <v>21</v>
      </c>
      <c r="B115" s="1">
        <v>84</v>
      </c>
      <c r="C115" s="1" t="str">
        <f t="shared" si="1"/>
        <v>מינהל ציבורי וביטחון; ביטוח לאומי חובה</v>
      </c>
      <c r="D115" s="1">
        <v>156</v>
      </c>
      <c r="E115" s="2">
        <v>17609.959118890361</v>
      </c>
      <c r="J115" s="18"/>
      <c r="K115" s="18">
        <v>99</v>
      </c>
      <c r="L115" s="19" t="s">
        <v>191</v>
      </c>
    </row>
    <row r="116" spans="1:12" x14ac:dyDescent="0.2">
      <c r="A116" s="1" t="s">
        <v>21</v>
      </c>
      <c r="B116" s="1">
        <v>85</v>
      </c>
      <c r="C116" s="1" t="str">
        <f t="shared" si="1"/>
        <v>חינוך</v>
      </c>
      <c r="D116" s="1">
        <v>1609</v>
      </c>
      <c r="E116" s="2">
        <v>12011.99764978649</v>
      </c>
    </row>
    <row r="117" spans="1:12" x14ac:dyDescent="0.2">
      <c r="A117" s="1" t="s">
        <v>21</v>
      </c>
      <c r="B117" s="1">
        <v>86</v>
      </c>
      <c r="C117" s="1" t="str">
        <f t="shared" si="1"/>
        <v>שירותי בריאות</v>
      </c>
      <c r="D117" s="1">
        <v>230</v>
      </c>
      <c r="E117" s="2">
        <v>12616.296648472307</v>
      </c>
    </row>
    <row r="118" spans="1:12" x14ac:dyDescent="0.2">
      <c r="A118" s="1" t="s">
        <v>21</v>
      </c>
      <c r="B118" s="1">
        <v>87</v>
      </c>
      <c r="C118" s="1" t="str">
        <f t="shared" si="1"/>
        <v>מגורים טיפוליים</v>
      </c>
      <c r="D118" s="1">
        <v>61</v>
      </c>
      <c r="E118" s="2">
        <v>7876.8736119982004</v>
      </c>
    </row>
    <row r="119" spans="1:12" x14ac:dyDescent="0.2">
      <c r="A119" s="1" t="s">
        <v>21</v>
      </c>
      <c r="B119" s="1">
        <v>88</v>
      </c>
      <c r="C119" s="1" t="str">
        <f t="shared" si="1"/>
        <v>שירותי רווחה וסעד ללא מגורים</v>
      </c>
      <c r="D119" s="1">
        <v>225</v>
      </c>
      <c r="E119" s="2">
        <v>4855.3109695366375</v>
      </c>
    </row>
    <row r="120" spans="1:12" x14ac:dyDescent="0.2">
      <c r="A120" s="1" t="s">
        <v>21</v>
      </c>
      <c r="B120" s="1">
        <v>90</v>
      </c>
      <c r="C120" s="1" t="str">
        <f t="shared" si="1"/>
        <v>יצירה, אמנות ובידור</v>
      </c>
      <c r="D120" s="1">
        <v>42</v>
      </c>
      <c r="E120" s="2">
        <v>5658.8853440871299</v>
      </c>
    </row>
    <row r="121" spans="1:12" x14ac:dyDescent="0.2">
      <c r="A121" s="1" t="s">
        <v>21</v>
      </c>
      <c r="B121" s="1">
        <v>91</v>
      </c>
      <c r="C121" s="1" t="str">
        <f t="shared" si="1"/>
        <v>הפעלת ספריות, ארכיונים, מוזאונים ופעילויות תרבות אחרות</v>
      </c>
      <c r="D121" s="1">
        <v>78</v>
      </c>
      <c r="E121" s="2">
        <v>11477.660811410817</v>
      </c>
    </row>
    <row r="122" spans="1:12" x14ac:dyDescent="0.2">
      <c r="A122" s="1" t="s">
        <v>21</v>
      </c>
      <c r="B122" s="1">
        <v>93</v>
      </c>
      <c r="C122" s="1" t="str">
        <f t="shared" si="1"/>
        <v>פעילויות ספורט, בילוי ופנאי</v>
      </c>
      <c r="D122" s="1">
        <v>195</v>
      </c>
      <c r="E122" s="2">
        <v>6342.3411686461677</v>
      </c>
    </row>
    <row r="123" spans="1:12" x14ac:dyDescent="0.2">
      <c r="A123" s="1" t="s">
        <v>21</v>
      </c>
      <c r="B123" s="1">
        <v>94</v>
      </c>
      <c r="C123" s="1" t="str">
        <f t="shared" si="1"/>
        <v>פעילויות של ארגוני חברים</v>
      </c>
      <c r="D123" s="1">
        <v>334</v>
      </c>
      <c r="E123" s="2">
        <v>6850.1002707787866</v>
      </c>
    </row>
    <row r="124" spans="1:12" x14ac:dyDescent="0.2">
      <c r="A124" s="1" t="s">
        <v>21</v>
      </c>
      <c r="B124" s="1">
        <v>96</v>
      </c>
      <c r="C124" s="1" t="str">
        <f t="shared" si="1"/>
        <v>שירותים אישיים אחרים</v>
      </c>
      <c r="D124" s="1">
        <v>36</v>
      </c>
      <c r="E124" s="2">
        <v>7982.1522196168034</v>
      </c>
    </row>
    <row r="125" spans="1:12" x14ac:dyDescent="0.2">
      <c r="A125" s="1" t="s">
        <v>23</v>
      </c>
      <c r="B125" s="1">
        <v>1</v>
      </c>
      <c r="C125" s="1" t="str">
        <f t="shared" si="1"/>
        <v>גידולים צמחיים</v>
      </c>
      <c r="D125" s="1">
        <v>1064</v>
      </c>
      <c r="E125" s="2">
        <v>8179.1692098549911</v>
      </c>
    </row>
    <row r="126" spans="1:12" x14ac:dyDescent="0.2">
      <c r="A126" s="1" t="s">
        <v>23</v>
      </c>
      <c r="B126" s="1">
        <v>3</v>
      </c>
      <c r="C126" s="1" t="str">
        <f t="shared" si="1"/>
        <v>דיג וחקלאות מים</v>
      </c>
      <c r="D126" s="1">
        <v>31</v>
      </c>
      <c r="E126" s="2">
        <v>12255.209580831355</v>
      </c>
    </row>
    <row r="127" spans="1:12" x14ac:dyDescent="0.2">
      <c r="A127" s="1" t="s">
        <v>23</v>
      </c>
      <c r="B127" s="1">
        <v>4</v>
      </c>
      <c r="C127" s="1" t="str">
        <f t="shared" si="1"/>
        <v>גידול בעלי חיים, ציד ופעילויות נלוות</v>
      </c>
      <c r="D127" s="1">
        <v>34</v>
      </c>
      <c r="E127" s="2">
        <v>11384.803898225959</v>
      </c>
    </row>
    <row r="128" spans="1:12" x14ac:dyDescent="0.2">
      <c r="A128" s="1" t="s">
        <v>23</v>
      </c>
      <c r="B128" s="1">
        <v>8</v>
      </c>
      <c r="C128" s="1" t="str">
        <f t="shared" si="1"/>
        <v>סוגים אחרים של כרייה וחציבה</v>
      </c>
      <c r="D128" s="1">
        <v>41</v>
      </c>
      <c r="E128" s="2">
        <v>17667.388211382116</v>
      </c>
    </row>
    <row r="129" spans="1:5" x14ac:dyDescent="0.2">
      <c r="A129" s="1" t="s">
        <v>23</v>
      </c>
      <c r="B129" s="1">
        <v>10</v>
      </c>
      <c r="C129" s="1" t="str">
        <f t="shared" si="1"/>
        <v>ייצור מוצרי מזון</v>
      </c>
      <c r="D129" s="1">
        <v>121</v>
      </c>
      <c r="E129" s="2">
        <v>12687.687112267889</v>
      </c>
    </row>
    <row r="130" spans="1:5" x14ac:dyDescent="0.2">
      <c r="A130" s="1" t="s">
        <v>23</v>
      </c>
      <c r="B130" s="1">
        <v>11</v>
      </c>
      <c r="C130" s="1" t="str">
        <f t="shared" si="1"/>
        <v>ייצור משקאות</v>
      </c>
      <c r="D130" s="1">
        <v>69</v>
      </c>
      <c r="E130" s="2">
        <v>11943.024430118996</v>
      </c>
    </row>
    <row r="131" spans="1:5" x14ac:dyDescent="0.2">
      <c r="A131" s="1" t="s">
        <v>23</v>
      </c>
      <c r="B131" s="1">
        <v>13</v>
      </c>
      <c r="C131" s="1" t="str">
        <f t="shared" ref="C131:C194" si="2">INDEX(L:L,MATCH(B131,K:K,0))</f>
        <v>ייצור טקסטיל</v>
      </c>
      <c r="D131" s="1">
        <v>71</v>
      </c>
      <c r="E131" s="2">
        <v>16800.993982074266</v>
      </c>
    </row>
    <row r="132" spans="1:5" x14ac:dyDescent="0.2">
      <c r="A132" s="1" t="s">
        <v>23</v>
      </c>
      <c r="B132" s="1">
        <v>16</v>
      </c>
      <c r="C132" s="1" t="str">
        <f t="shared" si="2"/>
        <v>ייצור מוצרי עץ ומוצרי עץ ושעם, פרט לרהיטים; ייצור מוצרי קש ומוצרים מחומרי קליעה</v>
      </c>
      <c r="D132" s="1">
        <v>27</v>
      </c>
      <c r="E132" s="2">
        <v>18433.930209502429</v>
      </c>
    </row>
    <row r="133" spans="1:5" x14ac:dyDescent="0.2">
      <c r="A133" s="1" t="s">
        <v>23</v>
      </c>
      <c r="B133" s="1">
        <v>20</v>
      </c>
      <c r="C133" s="1" t="str">
        <f t="shared" si="2"/>
        <v>ייצור כימיקלים ומוצריהם</v>
      </c>
      <c r="D133" s="1">
        <v>51</v>
      </c>
      <c r="E133" s="2">
        <v>18859.33489304813</v>
      </c>
    </row>
    <row r="134" spans="1:5" x14ac:dyDescent="0.2">
      <c r="A134" s="1" t="s">
        <v>23</v>
      </c>
      <c r="B134" s="1">
        <v>22</v>
      </c>
      <c r="C134" s="1" t="str">
        <f t="shared" si="2"/>
        <v xml:space="preserve">ייצור מוצרי גומי ופלסטיק </v>
      </c>
      <c r="D134" s="1">
        <v>152</v>
      </c>
      <c r="E134" s="2">
        <v>17757.607604000532</v>
      </c>
    </row>
    <row r="135" spans="1:5" x14ac:dyDescent="0.2">
      <c r="A135" s="1" t="s">
        <v>23</v>
      </c>
      <c r="B135" s="1">
        <v>23</v>
      </c>
      <c r="C135" s="1" t="str">
        <f t="shared" si="2"/>
        <v>ייצור מוצרים אחרים על בסיס מינרלים אל-מתכתיים</v>
      </c>
      <c r="D135" s="1">
        <v>51</v>
      </c>
      <c r="E135" s="2">
        <v>16110.33157626687</v>
      </c>
    </row>
    <row r="136" spans="1:5" x14ac:dyDescent="0.2">
      <c r="A136" s="1" t="s">
        <v>23</v>
      </c>
      <c r="B136" s="1">
        <v>26</v>
      </c>
      <c r="C136" s="1" t="str">
        <f t="shared" si="2"/>
        <v>ייצור מחשבים, מכשור אלקטרוני ואופטי</v>
      </c>
      <c r="D136" s="1">
        <v>154</v>
      </c>
      <c r="E136" s="2">
        <v>22247.682337521783</v>
      </c>
    </row>
    <row r="137" spans="1:5" x14ac:dyDescent="0.2">
      <c r="A137" s="1" t="s">
        <v>23</v>
      </c>
      <c r="B137" s="1">
        <v>27</v>
      </c>
      <c r="C137" s="1" t="str">
        <f t="shared" si="2"/>
        <v>ייצור ציוד חשמלי</v>
      </c>
      <c r="D137" s="1">
        <v>164</v>
      </c>
      <c r="E137" s="2">
        <v>18085.993643754624</v>
      </c>
    </row>
    <row r="138" spans="1:5" x14ac:dyDescent="0.2">
      <c r="A138" s="1" t="s">
        <v>23</v>
      </c>
      <c r="B138" s="1">
        <v>29</v>
      </c>
      <c r="C138" s="1" t="str">
        <f t="shared" si="2"/>
        <v xml:space="preserve">ייצור כלי רכב מנועיים ונגררים </v>
      </c>
      <c r="D138" s="1">
        <v>63</v>
      </c>
      <c r="E138" s="2">
        <v>19526.971247051009</v>
      </c>
    </row>
    <row r="139" spans="1:5" x14ac:dyDescent="0.2">
      <c r="A139" s="1" t="s">
        <v>23</v>
      </c>
      <c r="B139" s="1">
        <v>31</v>
      </c>
      <c r="C139" s="1" t="str">
        <f t="shared" si="2"/>
        <v>ייצור רהיטים</v>
      </c>
      <c r="D139" s="1">
        <v>11</v>
      </c>
      <c r="E139" s="2">
        <v>7350.5939393939398</v>
      </c>
    </row>
    <row r="140" spans="1:5" x14ac:dyDescent="0.2">
      <c r="A140" s="1" t="s">
        <v>23</v>
      </c>
      <c r="B140" s="1">
        <v>32</v>
      </c>
      <c r="C140" s="1" t="str">
        <f t="shared" si="2"/>
        <v>ענפי ייצור אחרים</v>
      </c>
      <c r="D140" s="1">
        <v>178</v>
      </c>
      <c r="E140" s="2">
        <v>19908.305949543595</v>
      </c>
    </row>
    <row r="141" spans="1:5" x14ac:dyDescent="0.2">
      <c r="A141" s="1" t="s">
        <v>23</v>
      </c>
      <c r="B141" s="1">
        <v>33</v>
      </c>
      <c r="C141" s="1" t="str">
        <f t="shared" si="2"/>
        <v>תיקון, תחזוקה והתקנה של מכונות וציוד</v>
      </c>
      <c r="D141" s="1">
        <v>13</v>
      </c>
      <c r="E141" s="2">
        <v>13451.746336996339</v>
      </c>
    </row>
    <row r="142" spans="1:5" x14ac:dyDescent="0.2">
      <c r="A142" s="1" t="s">
        <v>23</v>
      </c>
      <c r="B142" s="1">
        <v>36</v>
      </c>
      <c r="C142" s="1" t="str">
        <f t="shared" si="2"/>
        <v>אגירת מים, טיפול ואספקה</v>
      </c>
      <c r="D142" s="1">
        <v>25</v>
      </c>
      <c r="E142" s="2">
        <v>25031.574476190479</v>
      </c>
    </row>
    <row r="143" spans="1:5" x14ac:dyDescent="0.2">
      <c r="A143" s="1" t="s">
        <v>23</v>
      </c>
      <c r="B143" s="1">
        <v>37</v>
      </c>
      <c r="C143" s="1" t="str">
        <f t="shared" si="2"/>
        <v>שירותי ביוב</v>
      </c>
      <c r="D143" s="1">
        <v>13</v>
      </c>
      <c r="E143" s="2">
        <v>17960.160256410258</v>
      </c>
    </row>
    <row r="144" spans="1:5" x14ac:dyDescent="0.2">
      <c r="A144" s="1" t="s">
        <v>23</v>
      </c>
      <c r="B144" s="1">
        <v>41</v>
      </c>
      <c r="C144" s="1" t="str">
        <f t="shared" si="2"/>
        <v>בניית מבנים ובניינים</v>
      </c>
      <c r="D144" s="1">
        <v>46</v>
      </c>
      <c r="E144" s="2">
        <v>11186.186313445009</v>
      </c>
    </row>
    <row r="145" spans="1:5" x14ac:dyDescent="0.2">
      <c r="A145" s="1" t="s">
        <v>23</v>
      </c>
      <c r="B145" s="1">
        <v>42</v>
      </c>
      <c r="C145" s="1" t="str">
        <f t="shared" si="2"/>
        <v xml:space="preserve">עבודות הנדסה אזרחית </v>
      </c>
      <c r="D145" s="1">
        <v>25</v>
      </c>
      <c r="E145" s="2">
        <v>16578.633217893213</v>
      </c>
    </row>
    <row r="146" spans="1:5" x14ac:dyDescent="0.2">
      <c r="A146" s="1" t="s">
        <v>23</v>
      </c>
      <c r="B146" s="1">
        <v>43</v>
      </c>
      <c r="C146" s="1" t="str">
        <f t="shared" si="2"/>
        <v xml:space="preserve">עבודות בנייה מיוחדות </v>
      </c>
      <c r="D146" s="1">
        <v>102</v>
      </c>
      <c r="E146" s="2">
        <v>11779.710125413798</v>
      </c>
    </row>
    <row r="147" spans="1:5" x14ac:dyDescent="0.2">
      <c r="A147" s="1" t="s">
        <v>23</v>
      </c>
      <c r="B147" s="1">
        <v>45</v>
      </c>
      <c r="C147" s="1" t="str">
        <f t="shared" si="2"/>
        <v>מסחר סיטוני וקמעוני בכלי רכב מנועיים ובאופנועים ותיקונם</v>
      </c>
      <c r="D147" s="1">
        <v>64</v>
      </c>
      <c r="E147" s="2">
        <v>12327.687565949673</v>
      </c>
    </row>
    <row r="148" spans="1:5" x14ac:dyDescent="0.2">
      <c r="A148" s="1" t="s">
        <v>23</v>
      </c>
      <c r="B148" s="1">
        <v>46</v>
      </c>
      <c r="C148" s="1" t="str">
        <f t="shared" si="2"/>
        <v>מסחר סיטוני, פרט לכלי רכב מנועיים ולאופנועים</v>
      </c>
      <c r="D148" s="1">
        <v>204</v>
      </c>
      <c r="E148" s="2">
        <v>16089.856139299156</v>
      </c>
    </row>
    <row r="149" spans="1:5" x14ac:dyDescent="0.2">
      <c r="A149" s="1" t="s">
        <v>23</v>
      </c>
      <c r="B149" s="1">
        <v>47</v>
      </c>
      <c r="C149" s="1" t="str">
        <f t="shared" si="2"/>
        <v>מכירה קמעונית, פרט לכלי רכב מנועיים ולאופנועים</v>
      </c>
      <c r="D149" s="1">
        <v>279</v>
      </c>
      <c r="E149" s="2">
        <v>7558.1707065535047</v>
      </c>
    </row>
    <row r="150" spans="1:5" x14ac:dyDescent="0.2">
      <c r="A150" s="1" t="s">
        <v>23</v>
      </c>
      <c r="B150" s="1">
        <v>49</v>
      </c>
      <c r="C150" s="1" t="str">
        <f t="shared" si="2"/>
        <v>הובלה יבשתית והובלה באמצעות קווי צינורות</v>
      </c>
      <c r="D150" s="1">
        <v>66</v>
      </c>
      <c r="E150" s="2">
        <v>14381.283582032444</v>
      </c>
    </row>
    <row r="151" spans="1:5" x14ac:dyDescent="0.2">
      <c r="A151" s="1" t="s">
        <v>23</v>
      </c>
      <c r="B151" s="1">
        <v>52</v>
      </c>
      <c r="C151" s="1" t="str">
        <f t="shared" si="2"/>
        <v>אחסנה ושירותי עזר לתחבורה</v>
      </c>
      <c r="D151" s="1">
        <v>29</v>
      </c>
      <c r="E151" s="2">
        <v>18521.845977011493</v>
      </c>
    </row>
    <row r="152" spans="1:5" x14ac:dyDescent="0.2">
      <c r="A152" s="1" t="s">
        <v>23</v>
      </c>
      <c r="B152" s="1">
        <v>55</v>
      </c>
      <c r="C152" s="1" t="str">
        <f t="shared" si="2"/>
        <v>שירותי אירוח</v>
      </c>
      <c r="D152" s="1">
        <v>247</v>
      </c>
      <c r="E152" s="2">
        <v>8038.2014035671973</v>
      </c>
    </row>
    <row r="153" spans="1:5" x14ac:dyDescent="0.2">
      <c r="A153" s="1" t="s">
        <v>23</v>
      </c>
      <c r="B153" s="1">
        <v>56</v>
      </c>
      <c r="C153" s="1" t="str">
        <f t="shared" si="2"/>
        <v xml:space="preserve">שירותי מזון ומשקאות </v>
      </c>
      <c r="D153" s="1">
        <v>605</v>
      </c>
      <c r="E153" s="2">
        <v>5337.76886682647</v>
      </c>
    </row>
    <row r="154" spans="1:5" x14ac:dyDescent="0.2">
      <c r="A154" s="1" t="s">
        <v>23</v>
      </c>
      <c r="B154" s="1">
        <v>59</v>
      </c>
      <c r="C154" s="1" t="str">
        <f t="shared" si="2"/>
        <v xml:space="preserve">הפקה, פוסט-פרודקשן והפצה של סרטי קולנוע, סרטי וידאו, תכניות טלוויזיה, הקלטה
 והוצאה לאור של קול ומוזיקה </v>
      </c>
      <c r="D154" s="1">
        <v>10</v>
      </c>
      <c r="E154" s="2">
        <v>14251.125000000004</v>
      </c>
    </row>
    <row r="155" spans="1:5" x14ac:dyDescent="0.2">
      <c r="A155" s="1" t="s">
        <v>23</v>
      </c>
      <c r="B155" s="1">
        <v>61</v>
      </c>
      <c r="C155" s="1" t="str">
        <f t="shared" si="2"/>
        <v>שירותי תקשורת</v>
      </c>
      <c r="D155" s="1">
        <v>21</v>
      </c>
      <c r="E155" s="2">
        <v>13282.894444444444</v>
      </c>
    </row>
    <row r="156" spans="1:5" x14ac:dyDescent="0.2">
      <c r="A156" s="1" t="s">
        <v>23</v>
      </c>
      <c r="B156" s="1">
        <v>62</v>
      </c>
      <c r="C156" s="1" t="str">
        <f t="shared" si="2"/>
        <v>תכנות מחשבים, ייעוץ בתחום המחשבים ושירותים נלווים אחרים</v>
      </c>
      <c r="D156" s="1">
        <v>331</v>
      </c>
      <c r="E156" s="2">
        <v>23819.190096149217</v>
      </c>
    </row>
    <row r="157" spans="1:5" x14ac:dyDescent="0.2">
      <c r="A157" s="1" t="s">
        <v>23</v>
      </c>
      <c r="B157" s="1">
        <v>64</v>
      </c>
      <c r="C157" s="1" t="str">
        <f t="shared" si="2"/>
        <v>שירותים פיננסיים, פרט לביטוח ולקרנות פנסיה</v>
      </c>
      <c r="D157" s="1">
        <v>119</v>
      </c>
      <c r="E157" s="2">
        <v>18382.499594383215</v>
      </c>
    </row>
    <row r="158" spans="1:5" x14ac:dyDescent="0.2">
      <c r="A158" s="1" t="s">
        <v>23</v>
      </c>
      <c r="B158" s="1">
        <v>68</v>
      </c>
      <c r="C158" s="1" t="str">
        <f t="shared" si="2"/>
        <v>פעילויות בנדל"ן</v>
      </c>
      <c r="D158" s="1">
        <v>27</v>
      </c>
      <c r="E158" s="2">
        <v>18965.567012719788</v>
      </c>
    </row>
    <row r="159" spans="1:5" x14ac:dyDescent="0.2">
      <c r="A159" s="1" t="s">
        <v>23</v>
      </c>
      <c r="B159" s="1">
        <v>69</v>
      </c>
      <c r="C159" s="1" t="str">
        <f t="shared" si="2"/>
        <v>שירותים משפטיים ושירותי חשבונאות</v>
      </c>
      <c r="D159" s="1">
        <v>79</v>
      </c>
      <c r="E159" s="2">
        <v>12080.682867554384</v>
      </c>
    </row>
    <row r="160" spans="1:5" x14ac:dyDescent="0.2">
      <c r="A160" s="1" t="s">
        <v>23</v>
      </c>
      <c r="B160" s="1">
        <v>70</v>
      </c>
      <c r="C160" s="1" t="str">
        <f t="shared" si="2"/>
        <v>שירותי משרדים ראשיים; שירותי ייעוץ ניהולי</v>
      </c>
      <c r="D160" s="1">
        <v>371</v>
      </c>
      <c r="E160" s="2">
        <v>9212.6193295099583</v>
      </c>
    </row>
    <row r="161" spans="1:5" x14ac:dyDescent="0.2">
      <c r="A161" s="1" t="s">
        <v>23</v>
      </c>
      <c r="B161" s="1">
        <v>71</v>
      </c>
      <c r="C161" s="1" t="str">
        <f t="shared" si="2"/>
        <v>שירותי אדריכלות והנדסה; בדיקות טכניות וניתוח נתונים טכניים</v>
      </c>
      <c r="D161" s="1">
        <v>135</v>
      </c>
      <c r="E161" s="2">
        <v>13497.634486932817</v>
      </c>
    </row>
    <row r="162" spans="1:5" x14ac:dyDescent="0.2">
      <c r="A162" s="1" t="s">
        <v>23</v>
      </c>
      <c r="B162" s="1">
        <v>72</v>
      </c>
      <c r="C162" s="1" t="str">
        <f t="shared" si="2"/>
        <v>מחקר מדעי ופיתוח</v>
      </c>
      <c r="D162" s="1">
        <v>189</v>
      </c>
      <c r="E162" s="2">
        <v>20114.493726570319</v>
      </c>
    </row>
    <row r="163" spans="1:5" x14ac:dyDescent="0.2">
      <c r="A163" s="1" t="s">
        <v>23</v>
      </c>
      <c r="B163" s="1">
        <v>73</v>
      </c>
      <c r="C163" s="1" t="str">
        <f t="shared" si="2"/>
        <v>פרסום וחקר שווקים</v>
      </c>
      <c r="D163" s="1">
        <v>51</v>
      </c>
      <c r="E163" s="2">
        <v>12188.939028944909</v>
      </c>
    </row>
    <row r="164" spans="1:5" x14ac:dyDescent="0.2">
      <c r="A164" s="1" t="s">
        <v>23</v>
      </c>
      <c r="B164" s="1">
        <v>74</v>
      </c>
      <c r="C164" s="1" t="str">
        <f t="shared" si="2"/>
        <v>סוגים אחרים של שירותים מקצועיים, מדעיים וטכניים</v>
      </c>
      <c r="D164" s="1">
        <v>31</v>
      </c>
      <c r="E164" s="2">
        <v>10986.301564027372</v>
      </c>
    </row>
    <row r="165" spans="1:5" x14ac:dyDescent="0.2">
      <c r="A165" s="1" t="s">
        <v>23</v>
      </c>
      <c r="B165" s="1">
        <v>75</v>
      </c>
      <c r="C165" s="1" t="str">
        <f t="shared" si="2"/>
        <v>שירותים וטרינריים</v>
      </c>
      <c r="D165" s="1">
        <v>27</v>
      </c>
      <c r="E165" s="2">
        <v>9751.1466329966333</v>
      </c>
    </row>
    <row r="166" spans="1:5" x14ac:dyDescent="0.2">
      <c r="A166" s="1" t="s">
        <v>23</v>
      </c>
      <c r="B166" s="1">
        <v>77</v>
      </c>
      <c r="C166" s="1" t="str">
        <f t="shared" si="2"/>
        <v>שירותי השכרה והחכרה</v>
      </c>
      <c r="D166" s="1">
        <v>24</v>
      </c>
      <c r="E166" s="2">
        <v>7703.1927083333348</v>
      </c>
    </row>
    <row r="167" spans="1:5" x14ac:dyDescent="0.2">
      <c r="A167" s="1" t="s">
        <v>23</v>
      </c>
      <c r="B167" s="1">
        <v>78</v>
      </c>
      <c r="C167" s="1" t="str">
        <f t="shared" si="2"/>
        <v>שירותי תעסוקה</v>
      </c>
      <c r="D167" s="1">
        <v>40</v>
      </c>
      <c r="E167" s="2">
        <v>7079.9465782828293</v>
      </c>
    </row>
    <row r="168" spans="1:5" x14ac:dyDescent="0.2">
      <c r="A168" s="1" t="s">
        <v>23</v>
      </c>
      <c r="B168" s="1">
        <v>79</v>
      </c>
      <c r="C168" s="1" t="str">
        <f t="shared" si="2"/>
        <v>פעילויות של סוכנויות נסיעות, מארגני טיולים, הזמנות ושירותים נלווים</v>
      </c>
      <c r="D168" s="1">
        <v>65</v>
      </c>
      <c r="E168" s="2">
        <v>7279.0240404040387</v>
      </c>
    </row>
    <row r="169" spans="1:5" x14ac:dyDescent="0.2">
      <c r="A169" s="1" t="s">
        <v>23</v>
      </c>
      <c r="B169" s="1">
        <v>80</v>
      </c>
      <c r="C169" s="1" t="str">
        <f t="shared" si="2"/>
        <v>שירותי שמירה, אבטחה וחקירה</v>
      </c>
      <c r="D169" s="1">
        <v>44</v>
      </c>
      <c r="E169" s="2">
        <v>9442.9351231470537</v>
      </c>
    </row>
    <row r="170" spans="1:5" x14ac:dyDescent="0.2">
      <c r="A170" s="1" t="s">
        <v>23</v>
      </c>
      <c r="B170" s="1">
        <v>81</v>
      </c>
      <c r="C170" s="1" t="str">
        <f t="shared" si="2"/>
        <v>שירותי תחזוקה לבניינים ועבודות גינון</v>
      </c>
      <c r="D170" s="1">
        <v>53</v>
      </c>
      <c r="E170" s="2">
        <v>7658.800857632933</v>
      </c>
    </row>
    <row r="171" spans="1:5" x14ac:dyDescent="0.2">
      <c r="A171" s="1" t="s">
        <v>23</v>
      </c>
      <c r="B171" s="1">
        <v>82</v>
      </c>
      <c r="C171" s="1" t="str">
        <f t="shared" si="2"/>
        <v>שירותי ניהול ותמיכה למשרדים ולעסקים</v>
      </c>
      <c r="D171" s="1">
        <v>30</v>
      </c>
      <c r="E171" s="2">
        <v>9259.0509175084171</v>
      </c>
    </row>
    <row r="172" spans="1:5" x14ac:dyDescent="0.2">
      <c r="A172" s="1" t="s">
        <v>23</v>
      </c>
      <c r="B172" s="1">
        <v>83</v>
      </c>
      <c r="C172" s="1" t="str">
        <f t="shared" si="2"/>
        <v>מינהל מקומי</v>
      </c>
      <c r="D172" s="1">
        <v>342</v>
      </c>
      <c r="E172" s="2">
        <v>11137.641827422089</v>
      </c>
    </row>
    <row r="173" spans="1:5" x14ac:dyDescent="0.2">
      <c r="A173" s="1" t="s">
        <v>23</v>
      </c>
      <c r="B173" s="1">
        <v>84</v>
      </c>
      <c r="C173" s="1" t="str">
        <f t="shared" si="2"/>
        <v>מינהל ציבורי וביטחון; ביטוח לאומי חובה</v>
      </c>
      <c r="D173" s="1">
        <v>170</v>
      </c>
      <c r="E173" s="2">
        <v>18364.297297343175</v>
      </c>
    </row>
    <row r="174" spans="1:5" x14ac:dyDescent="0.2">
      <c r="A174" s="1" t="s">
        <v>23</v>
      </c>
      <c r="B174" s="1">
        <v>85</v>
      </c>
      <c r="C174" s="1" t="str">
        <f t="shared" si="2"/>
        <v>חינוך</v>
      </c>
      <c r="D174" s="1">
        <v>1217</v>
      </c>
      <c r="E174" s="2">
        <v>11494.037124206014</v>
      </c>
    </row>
    <row r="175" spans="1:5" x14ac:dyDescent="0.2">
      <c r="A175" s="1" t="s">
        <v>23</v>
      </c>
      <c r="B175" s="1">
        <v>86</v>
      </c>
      <c r="C175" s="1" t="str">
        <f t="shared" si="2"/>
        <v>שירותי בריאות</v>
      </c>
      <c r="D175" s="1">
        <v>254</v>
      </c>
      <c r="E175" s="2">
        <v>12564.910805609521</v>
      </c>
    </row>
    <row r="176" spans="1:5" x14ac:dyDescent="0.2">
      <c r="A176" s="1" t="s">
        <v>23</v>
      </c>
      <c r="B176" s="1">
        <v>87</v>
      </c>
      <c r="C176" s="1" t="str">
        <f t="shared" si="2"/>
        <v>מגורים טיפוליים</v>
      </c>
      <c r="D176" s="1">
        <v>54</v>
      </c>
      <c r="E176" s="2">
        <v>10166.553942199773</v>
      </c>
    </row>
    <row r="177" spans="1:5" x14ac:dyDescent="0.2">
      <c r="A177" s="1" t="s">
        <v>23</v>
      </c>
      <c r="B177" s="1">
        <v>88</v>
      </c>
      <c r="C177" s="1" t="str">
        <f t="shared" si="2"/>
        <v>שירותי רווחה וסעד ללא מגורים</v>
      </c>
      <c r="D177" s="1">
        <v>276</v>
      </c>
      <c r="E177" s="2">
        <v>5001.6433299088167</v>
      </c>
    </row>
    <row r="178" spans="1:5" x14ac:dyDescent="0.2">
      <c r="A178" s="1" t="s">
        <v>23</v>
      </c>
      <c r="B178" s="1">
        <v>90</v>
      </c>
      <c r="C178" s="1" t="str">
        <f t="shared" si="2"/>
        <v>יצירה, אמנות ובידור</v>
      </c>
      <c r="D178" s="1">
        <v>26</v>
      </c>
      <c r="E178" s="2">
        <v>8090.0839063714066</v>
      </c>
    </row>
    <row r="179" spans="1:5" x14ac:dyDescent="0.2">
      <c r="A179" s="1" t="s">
        <v>23</v>
      </c>
      <c r="B179" s="1">
        <v>91</v>
      </c>
      <c r="C179" s="1" t="str">
        <f t="shared" si="2"/>
        <v>הפעלת ספריות, ארכיונים, מוזאונים ופעילויות תרבות אחרות</v>
      </c>
      <c r="D179" s="1">
        <v>57</v>
      </c>
      <c r="E179" s="2">
        <v>10747.905990354671</v>
      </c>
    </row>
    <row r="180" spans="1:5" x14ac:dyDescent="0.2">
      <c r="A180" s="1" t="s">
        <v>23</v>
      </c>
      <c r="B180" s="1">
        <v>93</v>
      </c>
      <c r="C180" s="1" t="str">
        <f t="shared" si="2"/>
        <v>פעילויות ספורט, בילוי ופנאי</v>
      </c>
      <c r="D180" s="1">
        <v>232</v>
      </c>
      <c r="E180" s="2">
        <v>6830.757204588992</v>
      </c>
    </row>
    <row r="181" spans="1:5" x14ac:dyDescent="0.2">
      <c r="A181" s="1" t="s">
        <v>23</v>
      </c>
      <c r="B181" s="1">
        <v>94</v>
      </c>
      <c r="C181" s="1" t="str">
        <f t="shared" si="2"/>
        <v>פעילויות של ארגוני חברים</v>
      </c>
      <c r="D181" s="1">
        <v>243</v>
      </c>
      <c r="E181" s="2">
        <v>8799.423790224404</v>
      </c>
    </row>
    <row r="182" spans="1:5" x14ac:dyDescent="0.2">
      <c r="A182" s="1" t="s">
        <v>23</v>
      </c>
      <c r="B182" s="1">
        <v>96</v>
      </c>
      <c r="C182" s="1" t="str">
        <f t="shared" si="2"/>
        <v>שירותים אישיים אחרים</v>
      </c>
      <c r="D182" s="1">
        <v>29</v>
      </c>
      <c r="E182" s="2">
        <v>5534.5994252873561</v>
      </c>
    </row>
    <row r="183" spans="1:5" x14ac:dyDescent="0.2">
      <c r="A183" s="1" t="s">
        <v>25</v>
      </c>
      <c r="B183" s="1">
        <v>1</v>
      </c>
      <c r="C183" s="1" t="str">
        <f t="shared" si="2"/>
        <v>גידולים צמחיים</v>
      </c>
      <c r="D183" s="1">
        <v>78</v>
      </c>
      <c r="E183" s="2">
        <v>6435.5791763791767</v>
      </c>
    </row>
    <row r="184" spans="1:5" x14ac:dyDescent="0.2">
      <c r="A184" s="1" t="s">
        <v>25</v>
      </c>
      <c r="B184" s="1">
        <v>4</v>
      </c>
      <c r="C184" s="1" t="str">
        <f t="shared" si="2"/>
        <v>גידול בעלי חיים, ציד ופעילויות נלוות</v>
      </c>
      <c r="D184" s="1">
        <v>13</v>
      </c>
      <c r="E184" s="2">
        <v>10492.567288267288</v>
      </c>
    </row>
    <row r="185" spans="1:5" x14ac:dyDescent="0.2">
      <c r="A185" s="1" t="s">
        <v>25</v>
      </c>
      <c r="B185" s="1">
        <v>10</v>
      </c>
      <c r="C185" s="1" t="str">
        <f t="shared" si="2"/>
        <v>ייצור מוצרי מזון</v>
      </c>
      <c r="D185" s="1">
        <v>143</v>
      </c>
      <c r="E185" s="2">
        <v>9382.5082937264742</v>
      </c>
    </row>
    <row r="186" spans="1:5" x14ac:dyDescent="0.2">
      <c r="A186" s="1" t="s">
        <v>25</v>
      </c>
      <c r="B186" s="1">
        <v>11</v>
      </c>
      <c r="C186" s="1" t="str">
        <f t="shared" si="2"/>
        <v>ייצור משקאות</v>
      </c>
      <c r="D186" s="1">
        <v>44</v>
      </c>
      <c r="E186" s="2">
        <v>10794.002703168042</v>
      </c>
    </row>
    <row r="187" spans="1:5" x14ac:dyDescent="0.2">
      <c r="A187" s="1" t="s">
        <v>25</v>
      </c>
      <c r="B187" s="1">
        <v>13</v>
      </c>
      <c r="C187" s="1" t="str">
        <f t="shared" si="2"/>
        <v>ייצור טקסטיל</v>
      </c>
      <c r="D187" s="1">
        <v>19</v>
      </c>
      <c r="E187" s="2">
        <v>7683.2715311004795</v>
      </c>
    </row>
    <row r="188" spans="1:5" x14ac:dyDescent="0.2">
      <c r="A188" s="1" t="s">
        <v>25</v>
      </c>
      <c r="B188" s="1">
        <v>16</v>
      </c>
      <c r="C188" s="1" t="str">
        <f t="shared" si="2"/>
        <v>ייצור מוצרי עץ ומוצרי עץ ושעם, פרט לרהיטים; ייצור מוצרי קש ומוצרים מחומרי קליעה</v>
      </c>
      <c r="D188" s="1">
        <v>47</v>
      </c>
      <c r="E188" s="2">
        <v>12766.14717386632</v>
      </c>
    </row>
    <row r="189" spans="1:5" x14ac:dyDescent="0.2">
      <c r="A189" s="1" t="s">
        <v>25</v>
      </c>
      <c r="B189" s="1">
        <v>20</v>
      </c>
      <c r="C189" s="1" t="str">
        <f t="shared" si="2"/>
        <v>ייצור כימיקלים ומוצריהם</v>
      </c>
      <c r="D189" s="1">
        <v>11</v>
      </c>
      <c r="E189" s="2">
        <v>12767.368686868687</v>
      </c>
    </row>
    <row r="190" spans="1:5" x14ac:dyDescent="0.2">
      <c r="A190" s="1" t="s">
        <v>25</v>
      </c>
      <c r="B190" s="1">
        <v>22</v>
      </c>
      <c r="C190" s="1" t="str">
        <f t="shared" si="2"/>
        <v xml:space="preserve">ייצור מוצרי גומי ופלסטיק </v>
      </c>
      <c r="D190" s="1">
        <v>63</v>
      </c>
      <c r="E190" s="2">
        <v>10981.197891614556</v>
      </c>
    </row>
    <row r="191" spans="1:5" x14ac:dyDescent="0.2">
      <c r="A191" s="1" t="s">
        <v>25</v>
      </c>
      <c r="B191" s="1">
        <v>23</v>
      </c>
      <c r="C191" s="1" t="str">
        <f t="shared" si="2"/>
        <v>ייצור מוצרים אחרים על בסיס מינרלים אל-מתכתיים</v>
      </c>
      <c r="D191" s="1">
        <v>100</v>
      </c>
      <c r="E191" s="2">
        <v>11678.435928571424</v>
      </c>
    </row>
    <row r="192" spans="1:5" x14ac:dyDescent="0.2">
      <c r="A192" s="1" t="s">
        <v>25</v>
      </c>
      <c r="B192" s="1">
        <v>26</v>
      </c>
      <c r="C192" s="1" t="str">
        <f t="shared" si="2"/>
        <v>ייצור מחשבים, מכשור אלקטרוני ואופטי</v>
      </c>
      <c r="D192" s="1">
        <v>52</v>
      </c>
      <c r="E192" s="2">
        <v>12108.015546953045</v>
      </c>
    </row>
    <row r="193" spans="1:5" x14ac:dyDescent="0.2">
      <c r="A193" s="1" t="s">
        <v>25</v>
      </c>
      <c r="B193" s="1">
        <v>27</v>
      </c>
      <c r="C193" s="1" t="str">
        <f t="shared" si="2"/>
        <v>ייצור ציוד חשמלי</v>
      </c>
      <c r="D193" s="1">
        <v>91</v>
      </c>
      <c r="E193" s="2">
        <v>11560.479247339959</v>
      </c>
    </row>
    <row r="194" spans="1:5" x14ac:dyDescent="0.2">
      <c r="A194" s="1" t="s">
        <v>25</v>
      </c>
      <c r="B194" s="1">
        <v>29</v>
      </c>
      <c r="C194" s="1" t="str">
        <f t="shared" si="2"/>
        <v xml:space="preserve">ייצור כלי רכב מנועיים ונגררים </v>
      </c>
      <c r="D194" s="1">
        <v>13</v>
      </c>
      <c r="E194" s="2">
        <v>14035.43611111111</v>
      </c>
    </row>
    <row r="195" spans="1:5" x14ac:dyDescent="0.2">
      <c r="A195" s="1" t="s">
        <v>25</v>
      </c>
      <c r="B195" s="1">
        <v>31</v>
      </c>
      <c r="C195" s="1" t="str">
        <f t="shared" ref="C195:C258" si="3">INDEX(L:L,MATCH(B195,K:K,0))</f>
        <v>ייצור רהיטים</v>
      </c>
      <c r="D195" s="1">
        <v>23</v>
      </c>
      <c r="E195" s="2">
        <v>10749.273276240669</v>
      </c>
    </row>
    <row r="196" spans="1:5" x14ac:dyDescent="0.2">
      <c r="A196" s="1" t="s">
        <v>25</v>
      </c>
      <c r="B196" s="1">
        <v>32</v>
      </c>
      <c r="C196" s="1" t="str">
        <f t="shared" si="3"/>
        <v>ענפי ייצור אחרים</v>
      </c>
      <c r="D196" s="1">
        <v>21</v>
      </c>
      <c r="E196" s="2">
        <v>13777.064935064938</v>
      </c>
    </row>
    <row r="197" spans="1:5" x14ac:dyDescent="0.2">
      <c r="A197" s="1" t="s">
        <v>25</v>
      </c>
      <c r="B197" s="1">
        <v>35</v>
      </c>
      <c r="C197" s="1" t="str">
        <f t="shared" si="3"/>
        <v>אספקת חשמל, גז, קיטור ומיזוג אוויר (קירור)</v>
      </c>
      <c r="D197" s="1">
        <v>15</v>
      </c>
      <c r="E197" s="2">
        <v>27614.116666666665</v>
      </c>
    </row>
    <row r="198" spans="1:5" x14ac:dyDescent="0.2">
      <c r="A198" s="1" t="s">
        <v>25</v>
      </c>
      <c r="B198" s="1">
        <v>36</v>
      </c>
      <c r="C198" s="1" t="str">
        <f t="shared" si="3"/>
        <v>אגירת מים, טיפול ואספקה</v>
      </c>
      <c r="D198" s="1">
        <v>17</v>
      </c>
      <c r="E198" s="2">
        <v>18167.916666666661</v>
      </c>
    </row>
    <row r="199" spans="1:5" x14ac:dyDescent="0.2">
      <c r="A199" s="1" t="s">
        <v>25</v>
      </c>
      <c r="B199" s="1">
        <v>38</v>
      </c>
      <c r="C199" s="1" t="str">
        <f t="shared" si="3"/>
        <v>איסוף, טיפול וסילוק של אשפה ופסולת; מחזור (והשבה) של חומרים</v>
      </c>
      <c r="D199" s="1">
        <v>48</v>
      </c>
      <c r="E199" s="2">
        <v>8353.9221057299183</v>
      </c>
    </row>
    <row r="200" spans="1:5" x14ac:dyDescent="0.2">
      <c r="A200" s="1" t="s">
        <v>25</v>
      </c>
      <c r="B200" s="1">
        <v>41</v>
      </c>
      <c r="C200" s="1" t="str">
        <f t="shared" si="3"/>
        <v>בניית מבנים ובניינים</v>
      </c>
      <c r="D200" s="1">
        <v>56</v>
      </c>
      <c r="E200" s="2">
        <v>10447.460999020821</v>
      </c>
    </row>
    <row r="201" spans="1:5" x14ac:dyDescent="0.2">
      <c r="A201" s="1" t="s">
        <v>25</v>
      </c>
      <c r="B201" s="1">
        <v>42</v>
      </c>
      <c r="C201" s="1" t="str">
        <f t="shared" si="3"/>
        <v xml:space="preserve">עבודות הנדסה אזרחית </v>
      </c>
      <c r="D201" s="1">
        <v>11</v>
      </c>
      <c r="E201" s="2">
        <v>13037.418181818182</v>
      </c>
    </row>
    <row r="202" spans="1:5" x14ac:dyDescent="0.2">
      <c r="A202" s="1" t="s">
        <v>25</v>
      </c>
      <c r="B202" s="1">
        <v>43</v>
      </c>
      <c r="C202" s="1" t="str">
        <f t="shared" si="3"/>
        <v xml:space="preserve">עבודות בנייה מיוחדות </v>
      </c>
      <c r="D202" s="1">
        <v>81</v>
      </c>
      <c r="E202" s="2">
        <v>9721.6522108207264</v>
      </c>
    </row>
    <row r="203" spans="1:5" x14ac:dyDescent="0.2">
      <c r="A203" s="1" t="s">
        <v>25</v>
      </c>
      <c r="B203" s="1">
        <v>45</v>
      </c>
      <c r="C203" s="1" t="str">
        <f t="shared" si="3"/>
        <v>מסחר סיטוני וקמעוני בכלי רכב מנועיים ובאופנועים ותיקונם</v>
      </c>
      <c r="D203" s="1">
        <v>62</v>
      </c>
      <c r="E203" s="2">
        <v>9846.5797979797971</v>
      </c>
    </row>
    <row r="204" spans="1:5" x14ac:dyDescent="0.2">
      <c r="A204" s="1" t="s">
        <v>25</v>
      </c>
      <c r="B204" s="1">
        <v>46</v>
      </c>
      <c r="C204" s="1" t="str">
        <f t="shared" si="3"/>
        <v>מסחר סיטוני, פרט לכלי רכב מנועיים ולאופנועים</v>
      </c>
      <c r="D204" s="1">
        <v>153</v>
      </c>
      <c r="E204" s="2">
        <v>8846.2149734978138</v>
      </c>
    </row>
    <row r="205" spans="1:5" x14ac:dyDescent="0.2">
      <c r="A205" s="1" t="s">
        <v>25</v>
      </c>
      <c r="B205" s="1">
        <v>47</v>
      </c>
      <c r="C205" s="1" t="str">
        <f t="shared" si="3"/>
        <v>מכירה קמעונית, פרט לכלי רכב מנועיים ולאופנועים</v>
      </c>
      <c r="D205" s="1">
        <v>466</v>
      </c>
      <c r="E205" s="2">
        <v>6774.0204853563218</v>
      </c>
    </row>
    <row r="206" spans="1:5" x14ac:dyDescent="0.2">
      <c r="A206" s="1" t="s">
        <v>25</v>
      </c>
      <c r="B206" s="1">
        <v>49</v>
      </c>
      <c r="C206" s="1" t="str">
        <f t="shared" si="3"/>
        <v>הובלה יבשתית והובלה באמצעות קווי צינורות</v>
      </c>
      <c r="D206" s="1">
        <v>107</v>
      </c>
      <c r="E206" s="2">
        <v>8685.9320444093828</v>
      </c>
    </row>
    <row r="207" spans="1:5" x14ac:dyDescent="0.2">
      <c r="A207" s="1" t="s">
        <v>25</v>
      </c>
      <c r="B207" s="1">
        <v>52</v>
      </c>
      <c r="C207" s="1" t="str">
        <f t="shared" si="3"/>
        <v>אחסנה ושירותי עזר לתחבורה</v>
      </c>
      <c r="D207" s="1">
        <v>43</v>
      </c>
      <c r="E207" s="2">
        <v>11433.312015503876</v>
      </c>
    </row>
    <row r="208" spans="1:5" x14ac:dyDescent="0.2">
      <c r="A208" s="1" t="s">
        <v>25</v>
      </c>
      <c r="B208" s="1">
        <v>55</v>
      </c>
      <c r="C208" s="1" t="str">
        <f t="shared" si="3"/>
        <v>שירותי אירוח</v>
      </c>
      <c r="D208" s="1">
        <v>87</v>
      </c>
      <c r="E208" s="2">
        <v>8501.4658377701453</v>
      </c>
    </row>
    <row r="209" spans="1:5" x14ac:dyDescent="0.2">
      <c r="A209" s="1" t="s">
        <v>25</v>
      </c>
      <c r="B209" s="1">
        <v>56</v>
      </c>
      <c r="C209" s="1" t="str">
        <f t="shared" si="3"/>
        <v xml:space="preserve">שירותי מזון ומשקאות </v>
      </c>
      <c r="D209" s="1">
        <v>303</v>
      </c>
      <c r="E209" s="2">
        <v>4629.9934383914579</v>
      </c>
    </row>
    <row r="210" spans="1:5" x14ac:dyDescent="0.2">
      <c r="A210" s="1" t="s">
        <v>25</v>
      </c>
      <c r="B210" s="1">
        <v>61</v>
      </c>
      <c r="C210" s="1" t="str">
        <f t="shared" si="3"/>
        <v>שירותי תקשורת</v>
      </c>
      <c r="D210" s="1">
        <v>19</v>
      </c>
      <c r="E210" s="2">
        <v>11858.519138755981</v>
      </c>
    </row>
    <row r="211" spans="1:5" x14ac:dyDescent="0.2">
      <c r="A211" s="1" t="s">
        <v>25</v>
      </c>
      <c r="B211" s="1">
        <v>62</v>
      </c>
      <c r="C211" s="1" t="str">
        <f t="shared" si="3"/>
        <v>תכנות מחשבים, ייעוץ בתחום המחשבים ושירותים נלווים אחרים</v>
      </c>
      <c r="D211" s="1">
        <v>57</v>
      </c>
      <c r="E211" s="2">
        <v>18887.210392774869</v>
      </c>
    </row>
    <row r="212" spans="1:5" x14ac:dyDescent="0.2">
      <c r="A212" s="1" t="s">
        <v>25</v>
      </c>
      <c r="B212" s="1">
        <v>64</v>
      </c>
      <c r="C212" s="1" t="str">
        <f t="shared" si="3"/>
        <v>שירותים פיננסיים, פרט לביטוח ולקרנות פנסיה</v>
      </c>
      <c r="D212" s="1">
        <v>73</v>
      </c>
      <c r="E212" s="2">
        <v>17107.334610784954</v>
      </c>
    </row>
    <row r="213" spans="1:5" x14ac:dyDescent="0.2">
      <c r="A213" s="1" t="s">
        <v>25</v>
      </c>
      <c r="B213" s="1">
        <v>68</v>
      </c>
      <c r="C213" s="1" t="str">
        <f t="shared" si="3"/>
        <v>פעילויות בנדל"ן</v>
      </c>
      <c r="D213" s="1">
        <v>37</v>
      </c>
      <c r="E213" s="2">
        <v>12592.009491634491</v>
      </c>
    </row>
    <row r="214" spans="1:5" x14ac:dyDescent="0.2">
      <c r="A214" s="1" t="s">
        <v>25</v>
      </c>
      <c r="B214" s="1">
        <v>69</v>
      </c>
      <c r="C214" s="1" t="str">
        <f t="shared" si="3"/>
        <v>שירותים משפטיים ושירותי חשבונאות</v>
      </c>
      <c r="D214" s="1">
        <v>56</v>
      </c>
      <c r="E214" s="2">
        <v>8216.9267090548346</v>
      </c>
    </row>
    <row r="215" spans="1:5" x14ac:dyDescent="0.2">
      <c r="A215" s="1" t="s">
        <v>25</v>
      </c>
      <c r="B215" s="1">
        <v>70</v>
      </c>
      <c r="C215" s="1" t="str">
        <f t="shared" si="3"/>
        <v>שירותי משרדים ראשיים; שירותי ייעוץ ניהולי</v>
      </c>
      <c r="D215" s="1">
        <v>30</v>
      </c>
      <c r="E215" s="2">
        <v>9814.4456613756593</v>
      </c>
    </row>
    <row r="216" spans="1:5" x14ac:dyDescent="0.2">
      <c r="A216" s="1" t="s">
        <v>25</v>
      </c>
      <c r="B216" s="1">
        <v>71</v>
      </c>
      <c r="C216" s="1" t="str">
        <f t="shared" si="3"/>
        <v>שירותי אדריכלות והנדסה; בדיקות טכניות וניתוח נתונים טכניים</v>
      </c>
      <c r="D216" s="1">
        <v>30</v>
      </c>
      <c r="E216" s="2">
        <v>11846.449444444446</v>
      </c>
    </row>
    <row r="217" spans="1:5" x14ac:dyDescent="0.2">
      <c r="A217" s="1" t="s">
        <v>25</v>
      </c>
      <c r="B217" s="1">
        <v>72</v>
      </c>
      <c r="C217" s="1" t="str">
        <f t="shared" si="3"/>
        <v>מחקר מדעי ופיתוח</v>
      </c>
      <c r="D217" s="1">
        <v>18</v>
      </c>
      <c r="E217" s="2">
        <v>15446.153924162258</v>
      </c>
    </row>
    <row r="218" spans="1:5" x14ac:dyDescent="0.2">
      <c r="A218" s="1" t="s">
        <v>25</v>
      </c>
      <c r="B218" s="1">
        <v>73</v>
      </c>
      <c r="C218" s="1" t="str">
        <f t="shared" si="3"/>
        <v>פרסום וחקר שווקים</v>
      </c>
      <c r="D218" s="1">
        <v>73</v>
      </c>
      <c r="E218" s="2">
        <v>3834.7338863191608</v>
      </c>
    </row>
    <row r="219" spans="1:5" x14ac:dyDescent="0.2">
      <c r="A219" s="1" t="s">
        <v>25</v>
      </c>
      <c r="B219" s="1">
        <v>77</v>
      </c>
      <c r="C219" s="1" t="str">
        <f t="shared" si="3"/>
        <v>שירותי השכרה והחכרה</v>
      </c>
      <c r="D219" s="1">
        <v>12</v>
      </c>
      <c r="E219" s="2">
        <v>12237.505555555557</v>
      </c>
    </row>
    <row r="220" spans="1:5" x14ac:dyDescent="0.2">
      <c r="A220" s="1" t="s">
        <v>25</v>
      </c>
      <c r="B220" s="1">
        <v>78</v>
      </c>
      <c r="C220" s="1" t="str">
        <f t="shared" si="3"/>
        <v>שירותי תעסוקה</v>
      </c>
      <c r="D220" s="1">
        <v>32</v>
      </c>
      <c r="E220" s="2">
        <v>5251.6350378787874</v>
      </c>
    </row>
    <row r="221" spans="1:5" x14ac:dyDescent="0.2">
      <c r="A221" s="1" t="s">
        <v>25</v>
      </c>
      <c r="B221" s="1">
        <v>80</v>
      </c>
      <c r="C221" s="1" t="str">
        <f t="shared" si="3"/>
        <v>שירותי שמירה, אבטחה וחקירה</v>
      </c>
      <c r="D221" s="1">
        <v>46</v>
      </c>
      <c r="E221" s="2">
        <v>7714.4794199761591</v>
      </c>
    </row>
    <row r="222" spans="1:5" x14ac:dyDescent="0.2">
      <c r="A222" s="1" t="s">
        <v>25</v>
      </c>
      <c r="B222" s="1">
        <v>81</v>
      </c>
      <c r="C222" s="1" t="str">
        <f t="shared" si="3"/>
        <v>שירותי תחזוקה לבניינים ועבודות גינון</v>
      </c>
      <c r="D222" s="1">
        <v>75</v>
      </c>
      <c r="E222" s="2">
        <v>5638.4117647907651</v>
      </c>
    </row>
    <row r="223" spans="1:5" x14ac:dyDescent="0.2">
      <c r="A223" s="1" t="s">
        <v>25</v>
      </c>
      <c r="B223" s="1">
        <v>82</v>
      </c>
      <c r="C223" s="1" t="str">
        <f t="shared" si="3"/>
        <v>שירותי ניהול ותמיכה למשרדים ולעסקים</v>
      </c>
      <c r="D223" s="1">
        <v>147</v>
      </c>
      <c r="E223" s="2">
        <v>6416.5530430642657</v>
      </c>
    </row>
    <row r="224" spans="1:5" x14ac:dyDescent="0.2">
      <c r="A224" s="1" t="s">
        <v>25</v>
      </c>
      <c r="B224" s="1">
        <v>83</v>
      </c>
      <c r="C224" s="1" t="str">
        <f t="shared" si="3"/>
        <v>מינהל מקומי</v>
      </c>
      <c r="D224" s="1">
        <v>325</v>
      </c>
      <c r="E224" s="2">
        <v>6869.8667409257405</v>
      </c>
    </row>
    <row r="225" spans="1:5" x14ac:dyDescent="0.2">
      <c r="A225" s="1" t="s">
        <v>25</v>
      </c>
      <c r="B225" s="1">
        <v>84</v>
      </c>
      <c r="C225" s="1" t="str">
        <f t="shared" si="3"/>
        <v>מינהל ציבורי וביטחון; ביטוח לאומי חובה</v>
      </c>
      <c r="D225" s="1">
        <v>105</v>
      </c>
      <c r="E225" s="2">
        <v>16452.695183123753</v>
      </c>
    </row>
    <row r="226" spans="1:5" x14ac:dyDescent="0.2">
      <c r="A226" s="1" t="s">
        <v>25</v>
      </c>
      <c r="B226" s="1">
        <v>85</v>
      </c>
      <c r="C226" s="1" t="str">
        <f t="shared" si="3"/>
        <v>חינוך</v>
      </c>
      <c r="D226" s="1">
        <v>645</v>
      </c>
      <c r="E226" s="2">
        <v>9111.6216693513197</v>
      </c>
    </row>
    <row r="227" spans="1:5" x14ac:dyDescent="0.2">
      <c r="A227" s="1" t="s">
        <v>25</v>
      </c>
      <c r="B227" s="1">
        <v>86</v>
      </c>
      <c r="C227" s="1" t="str">
        <f t="shared" si="3"/>
        <v>שירותי בריאות</v>
      </c>
      <c r="D227" s="1">
        <v>102</v>
      </c>
      <c r="E227" s="2">
        <v>11175.704327589619</v>
      </c>
    </row>
    <row r="228" spans="1:5" x14ac:dyDescent="0.2">
      <c r="A228" s="1" t="s">
        <v>25</v>
      </c>
      <c r="B228" s="1">
        <v>87</v>
      </c>
      <c r="C228" s="1" t="str">
        <f t="shared" si="3"/>
        <v>מגורים טיפוליים</v>
      </c>
      <c r="D228" s="1">
        <v>12</v>
      </c>
      <c r="E228" s="2">
        <v>6909.270833333333</v>
      </c>
    </row>
    <row r="229" spans="1:5" x14ac:dyDescent="0.2">
      <c r="A229" s="1" t="s">
        <v>25</v>
      </c>
      <c r="B229" s="1">
        <v>88</v>
      </c>
      <c r="C229" s="1" t="str">
        <f t="shared" si="3"/>
        <v>שירותי רווחה וסעד ללא מגורים</v>
      </c>
      <c r="D229" s="1">
        <v>358</v>
      </c>
      <c r="E229" s="2">
        <v>3968.0635503075437</v>
      </c>
    </row>
    <row r="230" spans="1:5" x14ac:dyDescent="0.2">
      <c r="A230" s="1" t="s">
        <v>25</v>
      </c>
      <c r="B230" s="1">
        <v>90</v>
      </c>
      <c r="C230" s="1" t="str">
        <f t="shared" si="3"/>
        <v>יצירה, אמנות ובידור</v>
      </c>
      <c r="D230" s="1">
        <v>49</v>
      </c>
      <c r="E230" s="2">
        <v>2939.2268133227312</v>
      </c>
    </row>
    <row r="231" spans="1:5" x14ac:dyDescent="0.2">
      <c r="A231" s="1" t="s">
        <v>25</v>
      </c>
      <c r="B231" s="1">
        <v>93</v>
      </c>
      <c r="C231" s="1" t="str">
        <f t="shared" si="3"/>
        <v>פעילויות ספורט, בילוי ופנאי</v>
      </c>
      <c r="D231" s="1">
        <v>69</v>
      </c>
      <c r="E231" s="2">
        <v>6414.3123643264953</v>
      </c>
    </row>
    <row r="232" spans="1:5" x14ac:dyDescent="0.2">
      <c r="A232" s="1" t="s">
        <v>25</v>
      </c>
      <c r="B232" s="1">
        <v>94</v>
      </c>
      <c r="C232" s="1" t="str">
        <f t="shared" si="3"/>
        <v>פעילויות של ארגוני חברים</v>
      </c>
      <c r="D232" s="1">
        <v>173</v>
      </c>
      <c r="E232" s="2">
        <v>5238.160867761012</v>
      </c>
    </row>
    <row r="233" spans="1:5" x14ac:dyDescent="0.2">
      <c r="A233" s="1" t="s">
        <v>25</v>
      </c>
      <c r="B233" s="1">
        <v>96</v>
      </c>
      <c r="C233" s="1" t="str">
        <f t="shared" si="3"/>
        <v>שירותים אישיים אחרים</v>
      </c>
      <c r="D233" s="1">
        <v>18</v>
      </c>
      <c r="E233" s="2">
        <v>7136.1984988776649</v>
      </c>
    </row>
    <row r="234" spans="1:5" x14ac:dyDescent="0.2">
      <c r="A234" s="1" t="s">
        <v>26</v>
      </c>
      <c r="B234" s="1">
        <v>1</v>
      </c>
      <c r="C234" s="1" t="str">
        <f t="shared" si="3"/>
        <v>גידולים צמחיים</v>
      </c>
      <c r="D234" s="1">
        <v>247</v>
      </c>
      <c r="E234" s="2">
        <v>7361.7751177185382</v>
      </c>
    </row>
    <row r="235" spans="1:5" x14ac:dyDescent="0.2">
      <c r="A235" s="1" t="s">
        <v>26</v>
      </c>
      <c r="B235" s="1">
        <v>4</v>
      </c>
      <c r="C235" s="1" t="str">
        <f t="shared" si="3"/>
        <v>גידול בעלי חיים, ציד ופעילויות נלוות</v>
      </c>
      <c r="D235" s="1">
        <v>14</v>
      </c>
      <c r="E235" s="2">
        <v>7012.3099876314163</v>
      </c>
    </row>
    <row r="236" spans="1:5" x14ac:dyDescent="0.2">
      <c r="A236" s="1" t="s">
        <v>26</v>
      </c>
      <c r="B236" s="1">
        <v>10</v>
      </c>
      <c r="C236" s="1" t="str">
        <f t="shared" si="3"/>
        <v>ייצור מוצרי מזון</v>
      </c>
      <c r="D236" s="1">
        <v>168</v>
      </c>
      <c r="E236" s="2">
        <v>9475.0483796296303</v>
      </c>
    </row>
    <row r="237" spans="1:5" x14ac:dyDescent="0.2">
      <c r="A237" s="1" t="s">
        <v>26</v>
      </c>
      <c r="B237" s="1">
        <v>11</v>
      </c>
      <c r="C237" s="1" t="str">
        <f t="shared" si="3"/>
        <v>ייצור משקאות</v>
      </c>
      <c r="D237" s="1">
        <v>22</v>
      </c>
      <c r="E237" s="2">
        <v>11536.70087563951</v>
      </c>
    </row>
    <row r="238" spans="1:5" x14ac:dyDescent="0.2">
      <c r="A238" s="1" t="s">
        <v>26</v>
      </c>
      <c r="B238" s="1">
        <v>13</v>
      </c>
      <c r="C238" s="1" t="str">
        <f t="shared" si="3"/>
        <v>ייצור טקסטיל</v>
      </c>
      <c r="D238" s="1">
        <v>16</v>
      </c>
      <c r="E238" s="2">
        <v>9095.265625</v>
      </c>
    </row>
    <row r="239" spans="1:5" x14ac:dyDescent="0.2">
      <c r="A239" s="1" t="s">
        <v>26</v>
      </c>
      <c r="B239" s="1">
        <v>16</v>
      </c>
      <c r="C239" s="1" t="str">
        <f t="shared" si="3"/>
        <v>ייצור מוצרי עץ ומוצרי עץ ושעם, פרט לרהיטים; ייצור מוצרי קש ומוצרים מחומרי קליעה</v>
      </c>
      <c r="D239" s="1">
        <v>33</v>
      </c>
      <c r="E239" s="2">
        <v>10323.443771043771</v>
      </c>
    </row>
    <row r="240" spans="1:5" x14ac:dyDescent="0.2">
      <c r="A240" s="1" t="s">
        <v>26</v>
      </c>
      <c r="B240" s="1">
        <v>20</v>
      </c>
      <c r="C240" s="1" t="str">
        <f t="shared" si="3"/>
        <v>ייצור כימיקלים ומוצריהם</v>
      </c>
      <c r="D240" s="1">
        <v>27</v>
      </c>
      <c r="E240" s="2">
        <v>8551.3373256373252</v>
      </c>
    </row>
    <row r="241" spans="1:5" x14ac:dyDescent="0.2">
      <c r="A241" s="1" t="s">
        <v>26</v>
      </c>
      <c r="B241" s="1">
        <v>21</v>
      </c>
      <c r="C241" s="1" t="str">
        <f t="shared" si="3"/>
        <v>ייצור תרופות, כולל תרופות הומאופתיות</v>
      </c>
      <c r="D241" s="1">
        <v>38</v>
      </c>
      <c r="E241" s="2">
        <v>6665.1074675324689</v>
      </c>
    </row>
    <row r="242" spans="1:5" x14ac:dyDescent="0.2">
      <c r="A242" s="1" t="s">
        <v>26</v>
      </c>
      <c r="B242" s="1">
        <v>22</v>
      </c>
      <c r="C242" s="1" t="str">
        <f t="shared" si="3"/>
        <v xml:space="preserve">ייצור מוצרי גומי ופלסטיק </v>
      </c>
      <c r="D242" s="1">
        <v>60</v>
      </c>
      <c r="E242" s="2">
        <v>10942.543159571906</v>
      </c>
    </row>
    <row r="243" spans="1:5" x14ac:dyDescent="0.2">
      <c r="A243" s="1" t="s">
        <v>26</v>
      </c>
      <c r="B243" s="1">
        <v>23</v>
      </c>
      <c r="C243" s="1" t="str">
        <f t="shared" si="3"/>
        <v>ייצור מוצרים אחרים על בסיס מינרלים אל-מתכתיים</v>
      </c>
      <c r="D243" s="1">
        <v>81</v>
      </c>
      <c r="E243" s="2">
        <v>10022.310074733225</v>
      </c>
    </row>
    <row r="244" spans="1:5" x14ac:dyDescent="0.2">
      <c r="A244" s="1" t="s">
        <v>26</v>
      </c>
      <c r="B244" s="1">
        <v>26</v>
      </c>
      <c r="C244" s="1" t="str">
        <f t="shared" si="3"/>
        <v>ייצור מחשבים, מכשור אלקטרוני ואופטי</v>
      </c>
      <c r="D244" s="1">
        <v>26</v>
      </c>
      <c r="E244" s="2">
        <v>6889.5518981018986</v>
      </c>
    </row>
    <row r="245" spans="1:5" x14ac:dyDescent="0.2">
      <c r="A245" s="1" t="s">
        <v>26</v>
      </c>
      <c r="B245" s="1">
        <v>27</v>
      </c>
      <c r="C245" s="1" t="str">
        <f t="shared" si="3"/>
        <v>ייצור ציוד חשמלי</v>
      </c>
      <c r="D245" s="1">
        <v>23</v>
      </c>
      <c r="E245" s="2">
        <v>10563.360298638559</v>
      </c>
    </row>
    <row r="246" spans="1:5" x14ac:dyDescent="0.2">
      <c r="A246" s="1" t="s">
        <v>26</v>
      </c>
      <c r="B246" s="1">
        <v>38</v>
      </c>
      <c r="C246" s="1" t="str">
        <f t="shared" si="3"/>
        <v>איסוף, טיפול וסילוק של אשפה ופסולת; מחזור (והשבה) של חומרים</v>
      </c>
      <c r="D246" s="1">
        <v>40</v>
      </c>
      <c r="E246" s="2">
        <v>9894.3870734126976</v>
      </c>
    </row>
    <row r="247" spans="1:5" x14ac:dyDescent="0.2">
      <c r="A247" s="1" t="s">
        <v>26</v>
      </c>
      <c r="B247" s="1">
        <v>41</v>
      </c>
      <c r="C247" s="1" t="str">
        <f t="shared" si="3"/>
        <v>בניית מבנים ובניינים</v>
      </c>
      <c r="D247" s="1">
        <v>44</v>
      </c>
      <c r="E247" s="2">
        <v>6042.6420848091284</v>
      </c>
    </row>
    <row r="248" spans="1:5" x14ac:dyDescent="0.2">
      <c r="A248" s="1" t="s">
        <v>26</v>
      </c>
      <c r="B248" s="1">
        <v>42</v>
      </c>
      <c r="C248" s="1" t="str">
        <f t="shared" si="3"/>
        <v xml:space="preserve">עבודות הנדסה אזרחית </v>
      </c>
      <c r="D248" s="1">
        <v>39</v>
      </c>
      <c r="E248" s="2">
        <v>7945.4344766344775</v>
      </c>
    </row>
    <row r="249" spans="1:5" x14ac:dyDescent="0.2">
      <c r="A249" s="1" t="s">
        <v>26</v>
      </c>
      <c r="B249" s="1">
        <v>43</v>
      </c>
      <c r="C249" s="1" t="str">
        <f t="shared" si="3"/>
        <v xml:space="preserve">עבודות בנייה מיוחדות </v>
      </c>
      <c r="D249" s="1">
        <v>65</v>
      </c>
      <c r="E249" s="2">
        <v>7823.3214024864028</v>
      </c>
    </row>
    <row r="250" spans="1:5" x14ac:dyDescent="0.2">
      <c r="A250" s="1" t="s">
        <v>26</v>
      </c>
      <c r="B250" s="1">
        <v>45</v>
      </c>
      <c r="C250" s="1" t="str">
        <f t="shared" si="3"/>
        <v>מסחר סיטוני וקמעוני בכלי רכב מנועיים ובאופנועים ותיקונם</v>
      </c>
      <c r="D250" s="1">
        <v>38</v>
      </c>
      <c r="E250" s="2">
        <v>11071.761417748916</v>
      </c>
    </row>
    <row r="251" spans="1:5" x14ac:dyDescent="0.2">
      <c r="A251" s="1" t="s">
        <v>26</v>
      </c>
      <c r="B251" s="1">
        <v>46</v>
      </c>
      <c r="C251" s="1" t="str">
        <f t="shared" si="3"/>
        <v>מסחר סיטוני, פרט לכלי רכב מנועיים ולאופנועים</v>
      </c>
      <c r="D251" s="1">
        <v>86</v>
      </c>
      <c r="E251" s="2">
        <v>8115.5475422832951</v>
      </c>
    </row>
    <row r="252" spans="1:5" x14ac:dyDescent="0.2">
      <c r="A252" s="1" t="s">
        <v>26</v>
      </c>
      <c r="B252" s="1">
        <v>47</v>
      </c>
      <c r="C252" s="1" t="str">
        <f t="shared" si="3"/>
        <v>מכירה קמעונית, פרט לכלי רכב מנועיים ולאופנועים</v>
      </c>
      <c r="D252" s="1">
        <v>306</v>
      </c>
      <c r="E252" s="2">
        <v>6513.1400345660168</v>
      </c>
    </row>
    <row r="253" spans="1:5" x14ac:dyDescent="0.2">
      <c r="A253" s="1" t="s">
        <v>26</v>
      </c>
      <c r="B253" s="1">
        <v>49</v>
      </c>
      <c r="C253" s="1" t="str">
        <f t="shared" si="3"/>
        <v>הובלה יבשתית והובלה באמצעות קווי צינורות</v>
      </c>
      <c r="D253" s="1">
        <v>319</v>
      </c>
      <c r="E253" s="2">
        <v>9697.6865766939463</v>
      </c>
    </row>
    <row r="254" spans="1:5" x14ac:dyDescent="0.2">
      <c r="A254" s="1" t="s">
        <v>26</v>
      </c>
      <c r="B254" s="1">
        <v>52</v>
      </c>
      <c r="C254" s="1" t="str">
        <f t="shared" si="3"/>
        <v>אחסנה ושירותי עזר לתחבורה</v>
      </c>
      <c r="D254" s="1">
        <v>24</v>
      </c>
      <c r="E254" s="2">
        <v>10132.861381673882</v>
      </c>
    </row>
    <row r="255" spans="1:5" x14ac:dyDescent="0.2">
      <c r="A255" s="1" t="s">
        <v>26</v>
      </c>
      <c r="B255" s="1">
        <v>55</v>
      </c>
      <c r="C255" s="1" t="str">
        <f t="shared" si="3"/>
        <v>שירותי אירוח</v>
      </c>
      <c r="D255" s="1">
        <v>297</v>
      </c>
      <c r="E255" s="2">
        <v>6409.545672331783</v>
      </c>
    </row>
    <row r="256" spans="1:5" x14ac:dyDescent="0.2">
      <c r="A256" s="1" t="s">
        <v>26</v>
      </c>
      <c r="B256" s="1">
        <v>56</v>
      </c>
      <c r="C256" s="1" t="str">
        <f t="shared" si="3"/>
        <v xml:space="preserve">שירותי מזון ומשקאות </v>
      </c>
      <c r="D256" s="1">
        <v>292</v>
      </c>
      <c r="E256" s="2">
        <v>5536.9123318557358</v>
      </c>
    </row>
    <row r="257" spans="1:5" x14ac:dyDescent="0.2">
      <c r="A257" s="1" t="s">
        <v>26</v>
      </c>
      <c r="B257" s="1">
        <v>64</v>
      </c>
      <c r="C257" s="1" t="str">
        <f t="shared" si="3"/>
        <v>שירותים פיננסיים, פרט לביטוח ולקרנות פנסיה</v>
      </c>
      <c r="D257" s="1">
        <v>13</v>
      </c>
      <c r="E257" s="2">
        <v>12106.210683760686</v>
      </c>
    </row>
    <row r="258" spans="1:5" x14ac:dyDescent="0.2">
      <c r="A258" s="1" t="s">
        <v>26</v>
      </c>
      <c r="B258" s="1">
        <v>69</v>
      </c>
      <c r="C258" s="1" t="str">
        <f t="shared" si="3"/>
        <v>שירותים משפטיים ושירותי חשבונאות</v>
      </c>
      <c r="D258" s="1">
        <v>12</v>
      </c>
      <c r="E258" s="2">
        <v>6072.9905303030309</v>
      </c>
    </row>
    <row r="259" spans="1:5" x14ac:dyDescent="0.2">
      <c r="A259" s="1" t="s">
        <v>26</v>
      </c>
      <c r="B259" s="1">
        <v>73</v>
      </c>
      <c r="C259" s="1" t="str">
        <f t="shared" ref="C259:C322" si="4">INDEX(L:L,MATCH(B259,K:K,0))</f>
        <v>פרסום וחקר שווקים</v>
      </c>
      <c r="D259" s="1">
        <v>23</v>
      </c>
      <c r="E259" s="2">
        <v>6344.3811688311689</v>
      </c>
    </row>
    <row r="260" spans="1:5" x14ac:dyDescent="0.2">
      <c r="A260" s="1" t="s">
        <v>26</v>
      </c>
      <c r="B260" s="1">
        <v>78</v>
      </c>
      <c r="C260" s="1" t="str">
        <f t="shared" si="4"/>
        <v>שירותי תעסוקה</v>
      </c>
      <c r="D260" s="1">
        <v>108</v>
      </c>
      <c r="E260" s="2">
        <v>5026.9130695179301</v>
      </c>
    </row>
    <row r="261" spans="1:5" x14ac:dyDescent="0.2">
      <c r="A261" s="1" t="s">
        <v>26</v>
      </c>
      <c r="B261" s="1">
        <v>80</v>
      </c>
      <c r="C261" s="1" t="str">
        <f t="shared" si="4"/>
        <v>שירותי שמירה, אבטחה וחקירה</v>
      </c>
      <c r="D261" s="1">
        <v>76</v>
      </c>
      <c r="E261" s="2">
        <v>5946.284367167922</v>
      </c>
    </row>
    <row r="262" spans="1:5" x14ac:dyDescent="0.2">
      <c r="A262" s="1" t="s">
        <v>26</v>
      </c>
      <c r="B262" s="1">
        <v>81</v>
      </c>
      <c r="C262" s="1" t="str">
        <f t="shared" si="4"/>
        <v>שירותי תחזוקה לבניינים ועבודות גינון</v>
      </c>
      <c r="D262" s="1">
        <v>205</v>
      </c>
      <c r="E262" s="2">
        <v>4346.9812108893802</v>
      </c>
    </row>
    <row r="263" spans="1:5" x14ac:dyDescent="0.2">
      <c r="A263" s="1" t="s">
        <v>26</v>
      </c>
      <c r="B263" s="1">
        <v>82</v>
      </c>
      <c r="C263" s="1" t="str">
        <f t="shared" si="4"/>
        <v>שירותי ניהול ותמיכה למשרדים ולעסקים</v>
      </c>
      <c r="D263" s="1">
        <v>41</v>
      </c>
      <c r="E263" s="2">
        <v>5105.9572396438243</v>
      </c>
    </row>
    <row r="264" spans="1:5" x14ac:dyDescent="0.2">
      <c r="A264" s="1" t="s">
        <v>26</v>
      </c>
      <c r="B264" s="1">
        <v>83</v>
      </c>
      <c r="C264" s="1" t="str">
        <f t="shared" si="4"/>
        <v>מינהל מקומי</v>
      </c>
      <c r="D264" s="1">
        <v>133</v>
      </c>
      <c r="E264" s="2">
        <v>9091.8877515759086</v>
      </c>
    </row>
    <row r="265" spans="1:5" x14ac:dyDescent="0.2">
      <c r="A265" s="1" t="s">
        <v>26</v>
      </c>
      <c r="B265" s="1">
        <v>84</v>
      </c>
      <c r="C265" s="1" t="str">
        <f t="shared" si="4"/>
        <v>מינהל ציבורי וביטחון; ביטוח לאומי חובה</v>
      </c>
      <c r="D265" s="1">
        <v>55</v>
      </c>
      <c r="E265" s="2">
        <v>14258.673714416895</v>
      </c>
    </row>
    <row r="266" spans="1:5" x14ac:dyDescent="0.2">
      <c r="A266" s="1" t="s">
        <v>26</v>
      </c>
      <c r="B266" s="1">
        <v>85</v>
      </c>
      <c r="C266" s="1" t="str">
        <f t="shared" si="4"/>
        <v>חינוך</v>
      </c>
      <c r="D266" s="1">
        <v>138</v>
      </c>
      <c r="E266" s="2">
        <v>12402.329789091744</v>
      </c>
    </row>
    <row r="267" spans="1:5" x14ac:dyDescent="0.2">
      <c r="A267" s="1" t="s">
        <v>26</v>
      </c>
      <c r="B267" s="1">
        <v>86</v>
      </c>
      <c r="C267" s="1" t="str">
        <f t="shared" si="4"/>
        <v>שירותי בריאות</v>
      </c>
      <c r="D267" s="1">
        <v>51</v>
      </c>
      <c r="E267" s="2">
        <v>11750.511001471299</v>
      </c>
    </row>
    <row r="268" spans="1:5" x14ac:dyDescent="0.2">
      <c r="A268" s="1" t="s">
        <v>26</v>
      </c>
      <c r="B268" s="1">
        <v>87</v>
      </c>
      <c r="C268" s="1" t="str">
        <f t="shared" si="4"/>
        <v>מגורים טיפוליים</v>
      </c>
      <c r="D268" s="1">
        <v>18</v>
      </c>
      <c r="E268" s="2">
        <v>6666.9249438832776</v>
      </c>
    </row>
    <row r="269" spans="1:5" x14ac:dyDescent="0.2">
      <c r="A269" s="1" t="s">
        <v>26</v>
      </c>
      <c r="B269" s="1">
        <v>88</v>
      </c>
      <c r="C269" s="1" t="str">
        <f t="shared" si="4"/>
        <v>שירותי רווחה וסעד ללא מגורים</v>
      </c>
      <c r="D269" s="1">
        <v>117</v>
      </c>
      <c r="E269" s="2">
        <v>3330.2033105783098</v>
      </c>
    </row>
    <row r="270" spans="1:5" x14ac:dyDescent="0.2">
      <c r="A270" s="1" t="s">
        <v>26</v>
      </c>
      <c r="B270" s="1">
        <v>90</v>
      </c>
      <c r="C270" s="1" t="str">
        <f t="shared" si="4"/>
        <v>יצירה, אמנות ובידור</v>
      </c>
      <c r="D270" s="1">
        <v>10</v>
      </c>
      <c r="E270" s="2">
        <v>5561.2488095238095</v>
      </c>
    </row>
    <row r="271" spans="1:5" x14ac:dyDescent="0.2">
      <c r="A271" s="1" t="s">
        <v>26</v>
      </c>
      <c r="B271" s="1">
        <v>91</v>
      </c>
      <c r="C271" s="1" t="str">
        <f t="shared" si="4"/>
        <v>הפעלת ספריות, ארכיונים, מוזאונים ופעילויות תרבות אחרות</v>
      </c>
      <c r="D271" s="1">
        <v>15</v>
      </c>
      <c r="E271" s="2">
        <v>7692.721111111111</v>
      </c>
    </row>
    <row r="272" spans="1:5" x14ac:dyDescent="0.2">
      <c r="A272" s="1" t="s">
        <v>26</v>
      </c>
      <c r="B272" s="1">
        <v>93</v>
      </c>
      <c r="C272" s="1" t="str">
        <f t="shared" si="4"/>
        <v>פעילויות ספורט, בילוי ופנאי</v>
      </c>
      <c r="D272" s="1">
        <v>38</v>
      </c>
      <c r="E272" s="2">
        <v>5467.284201032885</v>
      </c>
    </row>
    <row r="273" spans="1:5" x14ac:dyDescent="0.2">
      <c r="A273" s="1" t="s">
        <v>26</v>
      </c>
      <c r="B273" s="1">
        <v>94</v>
      </c>
      <c r="C273" s="1" t="str">
        <f t="shared" si="4"/>
        <v>פעילויות של ארגוני חברים</v>
      </c>
      <c r="D273" s="1">
        <v>18</v>
      </c>
      <c r="E273" s="2">
        <v>5010.2967171717173</v>
      </c>
    </row>
    <row r="274" spans="1:5" x14ac:dyDescent="0.2">
      <c r="A274" s="1" t="s">
        <v>27</v>
      </c>
      <c r="B274" s="1">
        <v>1</v>
      </c>
      <c r="C274" s="1" t="str">
        <f t="shared" si="4"/>
        <v>גידולים צמחיים</v>
      </c>
      <c r="D274" s="1">
        <v>58</v>
      </c>
      <c r="E274" s="2">
        <v>10330.538800567248</v>
      </c>
    </row>
    <row r="275" spans="1:5" x14ac:dyDescent="0.2">
      <c r="A275" s="1" t="s">
        <v>27</v>
      </c>
      <c r="B275" s="1">
        <v>10</v>
      </c>
      <c r="C275" s="1" t="str">
        <f t="shared" si="4"/>
        <v>ייצור מוצרי מזון</v>
      </c>
      <c r="D275" s="1">
        <v>10</v>
      </c>
      <c r="E275" s="2">
        <v>23604.058333333331</v>
      </c>
    </row>
    <row r="276" spans="1:5" x14ac:dyDescent="0.2">
      <c r="A276" s="1" t="s">
        <v>27</v>
      </c>
      <c r="B276" s="1">
        <v>27</v>
      </c>
      <c r="C276" s="1" t="str">
        <f t="shared" si="4"/>
        <v>ייצור ציוד חשמלי</v>
      </c>
      <c r="D276" s="1">
        <v>12</v>
      </c>
      <c r="E276" s="2">
        <v>20491.786574074071</v>
      </c>
    </row>
    <row r="277" spans="1:5" x14ac:dyDescent="0.2">
      <c r="A277" s="1" t="s">
        <v>27</v>
      </c>
      <c r="B277" s="1">
        <v>32</v>
      </c>
      <c r="C277" s="1" t="str">
        <f t="shared" si="4"/>
        <v>ענפי ייצור אחרים</v>
      </c>
      <c r="D277" s="1">
        <v>13</v>
      </c>
      <c r="E277" s="2">
        <v>17616.862393162392</v>
      </c>
    </row>
    <row r="278" spans="1:5" x14ac:dyDescent="0.2">
      <c r="A278" s="1" t="s">
        <v>27</v>
      </c>
      <c r="B278" s="1">
        <v>43</v>
      </c>
      <c r="C278" s="1" t="str">
        <f t="shared" si="4"/>
        <v xml:space="preserve">עבודות בנייה מיוחדות </v>
      </c>
      <c r="D278" s="1">
        <v>14</v>
      </c>
      <c r="E278" s="2">
        <v>19666.49047619048</v>
      </c>
    </row>
    <row r="279" spans="1:5" x14ac:dyDescent="0.2">
      <c r="A279" s="1" t="s">
        <v>27</v>
      </c>
      <c r="B279" s="1">
        <v>46</v>
      </c>
      <c r="C279" s="1" t="str">
        <f t="shared" si="4"/>
        <v>מסחר סיטוני, פרט לכלי רכב מנועיים ולאופנועים</v>
      </c>
      <c r="D279" s="1">
        <v>42</v>
      </c>
      <c r="E279" s="2">
        <v>15384.123155019581</v>
      </c>
    </row>
    <row r="280" spans="1:5" x14ac:dyDescent="0.2">
      <c r="A280" s="1" t="s">
        <v>27</v>
      </c>
      <c r="B280" s="1">
        <v>47</v>
      </c>
      <c r="C280" s="1" t="str">
        <f t="shared" si="4"/>
        <v>מכירה קמעונית, פרט לכלי רכב מנועיים ולאופנועים</v>
      </c>
      <c r="D280" s="1">
        <v>24</v>
      </c>
      <c r="E280" s="2">
        <v>10267.914966630593</v>
      </c>
    </row>
    <row r="281" spans="1:5" x14ac:dyDescent="0.2">
      <c r="A281" s="1" t="s">
        <v>27</v>
      </c>
      <c r="B281" s="1">
        <v>55</v>
      </c>
      <c r="C281" s="1" t="str">
        <f t="shared" si="4"/>
        <v>שירותי אירוח</v>
      </c>
      <c r="D281" s="1">
        <v>32</v>
      </c>
      <c r="E281" s="2">
        <v>10194.319650748555</v>
      </c>
    </row>
    <row r="282" spans="1:5" x14ac:dyDescent="0.2">
      <c r="A282" s="1" t="s">
        <v>27</v>
      </c>
      <c r="B282" s="1">
        <v>56</v>
      </c>
      <c r="C282" s="1" t="str">
        <f t="shared" si="4"/>
        <v xml:space="preserve">שירותי מזון ומשקאות </v>
      </c>
      <c r="D282" s="1">
        <v>81</v>
      </c>
      <c r="E282" s="2">
        <v>5186.4691714321352</v>
      </c>
    </row>
    <row r="283" spans="1:5" x14ac:dyDescent="0.2">
      <c r="A283" s="1" t="s">
        <v>27</v>
      </c>
      <c r="B283" s="1">
        <v>62</v>
      </c>
      <c r="C283" s="1" t="str">
        <f t="shared" si="4"/>
        <v>תכנות מחשבים, ייעוץ בתחום המחשבים ושירותים נלווים אחרים</v>
      </c>
      <c r="D283" s="1">
        <v>29</v>
      </c>
      <c r="E283" s="2">
        <v>21374.611973180075</v>
      </c>
    </row>
    <row r="284" spans="1:5" x14ac:dyDescent="0.2">
      <c r="A284" s="1" t="s">
        <v>27</v>
      </c>
      <c r="B284" s="1">
        <v>64</v>
      </c>
      <c r="C284" s="1" t="str">
        <f t="shared" si="4"/>
        <v>שירותים פיננסיים, פרט לביטוח ולקרנות פנסיה</v>
      </c>
      <c r="D284" s="1">
        <v>11</v>
      </c>
      <c r="E284" s="2">
        <v>14012.07070707071</v>
      </c>
    </row>
    <row r="285" spans="1:5" x14ac:dyDescent="0.2">
      <c r="A285" s="1" t="s">
        <v>27</v>
      </c>
      <c r="B285" s="1">
        <v>70</v>
      </c>
      <c r="C285" s="1" t="str">
        <f t="shared" si="4"/>
        <v>שירותי משרדים ראשיים; שירותי ייעוץ ניהולי</v>
      </c>
      <c r="D285" s="1">
        <v>25</v>
      </c>
      <c r="E285" s="2">
        <v>13328.462222222222</v>
      </c>
    </row>
    <row r="286" spans="1:5" x14ac:dyDescent="0.2">
      <c r="A286" s="1" t="s">
        <v>27</v>
      </c>
      <c r="B286" s="1">
        <v>72</v>
      </c>
      <c r="C286" s="1" t="str">
        <f t="shared" si="4"/>
        <v>מחקר מדעי ופיתוח</v>
      </c>
      <c r="D286" s="1">
        <v>12</v>
      </c>
      <c r="E286" s="2">
        <v>20129.756944444442</v>
      </c>
    </row>
    <row r="287" spans="1:5" x14ac:dyDescent="0.2">
      <c r="A287" s="1" t="s">
        <v>27</v>
      </c>
      <c r="B287" s="1">
        <v>79</v>
      </c>
      <c r="C287" s="1" t="str">
        <f t="shared" si="4"/>
        <v>פעילויות של סוכנויות נסיעות, מארגני טיולים, הזמנות ושירותים נלווים</v>
      </c>
      <c r="D287" s="1">
        <v>13</v>
      </c>
      <c r="E287" s="2">
        <v>8776.5615384615394</v>
      </c>
    </row>
    <row r="288" spans="1:5" x14ac:dyDescent="0.2">
      <c r="A288" s="1" t="s">
        <v>27</v>
      </c>
      <c r="B288" s="1">
        <v>83</v>
      </c>
      <c r="C288" s="1" t="str">
        <f t="shared" si="4"/>
        <v>מינהל מקומי</v>
      </c>
      <c r="D288" s="1">
        <v>32</v>
      </c>
      <c r="E288" s="2">
        <v>14722.292629419189</v>
      </c>
    </row>
    <row r="289" spans="1:5" x14ac:dyDescent="0.2">
      <c r="A289" s="1" t="s">
        <v>27</v>
      </c>
      <c r="B289" s="1">
        <v>84</v>
      </c>
      <c r="C289" s="1" t="str">
        <f t="shared" si="4"/>
        <v>מינהל ציבורי וביטחון; ביטוח לאומי חובה</v>
      </c>
      <c r="D289" s="1">
        <v>18</v>
      </c>
      <c r="E289" s="2">
        <v>27062.549158249152</v>
      </c>
    </row>
    <row r="290" spans="1:5" x14ac:dyDescent="0.2">
      <c r="A290" s="1" t="s">
        <v>27</v>
      </c>
      <c r="B290" s="1">
        <v>85</v>
      </c>
      <c r="C290" s="1" t="str">
        <f t="shared" si="4"/>
        <v>חינוך</v>
      </c>
      <c r="D290" s="1">
        <v>113</v>
      </c>
      <c r="E290" s="2">
        <v>12355.836028106602</v>
      </c>
    </row>
    <row r="291" spans="1:5" x14ac:dyDescent="0.2">
      <c r="A291" s="1" t="s">
        <v>27</v>
      </c>
      <c r="B291" s="1">
        <v>86</v>
      </c>
      <c r="C291" s="1" t="str">
        <f t="shared" si="4"/>
        <v>שירותי בריאות</v>
      </c>
      <c r="D291" s="1">
        <v>28</v>
      </c>
      <c r="E291" s="2">
        <v>13532.260615079364</v>
      </c>
    </row>
    <row r="292" spans="1:5" x14ac:dyDescent="0.2">
      <c r="A292" s="1" t="s">
        <v>27</v>
      </c>
      <c r="B292" s="1">
        <v>88</v>
      </c>
      <c r="C292" s="1" t="str">
        <f t="shared" si="4"/>
        <v>שירותי רווחה וסעד ללא מגורים</v>
      </c>
      <c r="D292" s="1">
        <v>24</v>
      </c>
      <c r="E292" s="2">
        <v>3346.1871708152958</v>
      </c>
    </row>
    <row r="293" spans="1:5" x14ac:dyDescent="0.2">
      <c r="A293" s="1" t="s">
        <v>27</v>
      </c>
      <c r="B293" s="1">
        <v>91</v>
      </c>
      <c r="C293" s="1" t="str">
        <f t="shared" si="4"/>
        <v>הפעלת ספריות, ארכיונים, מוזאונים ופעילויות תרבות אחרות</v>
      </c>
      <c r="D293" s="1">
        <v>10</v>
      </c>
      <c r="E293" s="2">
        <v>19631.109393939394</v>
      </c>
    </row>
    <row r="294" spans="1:5" x14ac:dyDescent="0.2">
      <c r="A294" s="1" t="s">
        <v>27</v>
      </c>
      <c r="B294" s="1">
        <v>93</v>
      </c>
      <c r="C294" s="1" t="str">
        <f t="shared" si="4"/>
        <v>פעילויות ספורט, בילוי ופנאי</v>
      </c>
      <c r="D294" s="1">
        <v>24</v>
      </c>
      <c r="E294" s="2">
        <v>8759.2341645622892</v>
      </c>
    </row>
    <row r="295" spans="1:5" x14ac:dyDescent="0.2">
      <c r="A295" s="1" t="s">
        <v>27</v>
      </c>
      <c r="B295" s="1">
        <v>94</v>
      </c>
      <c r="C295" s="1" t="str">
        <f t="shared" si="4"/>
        <v>פעילויות של ארגוני חברים</v>
      </c>
      <c r="D295" s="1">
        <v>39</v>
      </c>
      <c r="E295" s="2">
        <v>7249.2900284900279</v>
      </c>
    </row>
    <row r="296" spans="1:5" x14ac:dyDescent="0.2">
      <c r="A296" s="1" t="s">
        <v>28</v>
      </c>
      <c r="B296" s="1">
        <v>1</v>
      </c>
      <c r="C296" s="1" t="str">
        <f t="shared" si="4"/>
        <v>גידולים צמחיים</v>
      </c>
      <c r="D296" s="1">
        <v>195</v>
      </c>
      <c r="E296" s="2">
        <v>8751.930204795206</v>
      </c>
    </row>
    <row r="297" spans="1:5" x14ac:dyDescent="0.2">
      <c r="A297" s="1" t="s">
        <v>28</v>
      </c>
      <c r="B297" s="1">
        <v>4</v>
      </c>
      <c r="C297" s="1" t="str">
        <f t="shared" si="4"/>
        <v>גידול בעלי חיים, ציד ופעילויות נלוות</v>
      </c>
      <c r="D297" s="1">
        <v>44</v>
      </c>
      <c r="E297" s="2">
        <v>14775.696969696972</v>
      </c>
    </row>
    <row r="298" spans="1:5" x14ac:dyDescent="0.2">
      <c r="A298" s="1" t="s">
        <v>28</v>
      </c>
      <c r="B298" s="1">
        <v>10</v>
      </c>
      <c r="C298" s="1" t="str">
        <f t="shared" si="4"/>
        <v>ייצור מוצרי מזון</v>
      </c>
      <c r="D298" s="1">
        <v>67</v>
      </c>
      <c r="E298" s="2">
        <v>15159.742680536709</v>
      </c>
    </row>
    <row r="299" spans="1:5" x14ac:dyDescent="0.2">
      <c r="A299" s="1" t="s">
        <v>28</v>
      </c>
      <c r="B299" s="1">
        <v>11</v>
      </c>
      <c r="C299" s="1" t="str">
        <f t="shared" si="4"/>
        <v>ייצור משקאות</v>
      </c>
      <c r="D299" s="1">
        <v>16</v>
      </c>
      <c r="E299" s="2">
        <v>10855.522118506491</v>
      </c>
    </row>
    <row r="300" spans="1:5" x14ac:dyDescent="0.2">
      <c r="A300" s="1" t="s">
        <v>28</v>
      </c>
      <c r="B300" s="1">
        <v>13</v>
      </c>
      <c r="C300" s="1" t="str">
        <f t="shared" si="4"/>
        <v>ייצור טקסטיל</v>
      </c>
      <c r="D300" s="1">
        <v>22</v>
      </c>
      <c r="E300" s="2">
        <v>12916.46556473829</v>
      </c>
    </row>
    <row r="301" spans="1:5" x14ac:dyDescent="0.2">
      <c r="A301" s="1" t="s">
        <v>28</v>
      </c>
      <c r="B301" s="1">
        <v>16</v>
      </c>
      <c r="C301" s="1" t="str">
        <f t="shared" si="4"/>
        <v>ייצור מוצרי עץ ומוצרי עץ ושעם, פרט לרהיטים; ייצור מוצרי קש ומוצרים מחומרי קליעה</v>
      </c>
      <c r="D301" s="1">
        <v>12</v>
      </c>
      <c r="E301" s="2">
        <v>12427.20833333333</v>
      </c>
    </row>
    <row r="302" spans="1:5" x14ac:dyDescent="0.2">
      <c r="A302" s="1" t="s">
        <v>28</v>
      </c>
      <c r="B302" s="1">
        <v>20</v>
      </c>
      <c r="C302" s="1" t="str">
        <f t="shared" si="4"/>
        <v>ייצור כימיקלים ומוצריהם</v>
      </c>
      <c r="D302" s="1">
        <v>18</v>
      </c>
      <c r="E302" s="2">
        <v>15363.524933862434</v>
      </c>
    </row>
    <row r="303" spans="1:5" x14ac:dyDescent="0.2">
      <c r="A303" s="1" t="s">
        <v>28</v>
      </c>
      <c r="B303" s="1">
        <v>22</v>
      </c>
      <c r="C303" s="1" t="str">
        <f t="shared" si="4"/>
        <v xml:space="preserve">ייצור מוצרי גומי ופלסטיק </v>
      </c>
      <c r="D303" s="1">
        <v>37</v>
      </c>
      <c r="E303" s="2">
        <v>13852.978797628801</v>
      </c>
    </row>
    <row r="304" spans="1:5" x14ac:dyDescent="0.2">
      <c r="A304" s="1" t="s">
        <v>28</v>
      </c>
      <c r="B304" s="1">
        <v>23</v>
      </c>
      <c r="C304" s="1" t="str">
        <f t="shared" si="4"/>
        <v>ייצור מוצרים אחרים על בסיס מינרלים אל-מתכתיים</v>
      </c>
      <c r="D304" s="1">
        <v>29</v>
      </c>
      <c r="E304" s="2">
        <v>15645.72796934866</v>
      </c>
    </row>
    <row r="305" spans="1:5" x14ac:dyDescent="0.2">
      <c r="A305" s="1" t="s">
        <v>28</v>
      </c>
      <c r="B305" s="1">
        <v>26</v>
      </c>
      <c r="C305" s="1" t="str">
        <f t="shared" si="4"/>
        <v>ייצור מחשבים, מכשור אלקטרוני ואופטי</v>
      </c>
      <c r="D305" s="1">
        <v>79</v>
      </c>
      <c r="E305" s="2">
        <v>21433.49936343544</v>
      </c>
    </row>
    <row r="306" spans="1:5" x14ac:dyDescent="0.2">
      <c r="A306" s="1" t="s">
        <v>28</v>
      </c>
      <c r="B306" s="1">
        <v>27</v>
      </c>
      <c r="C306" s="1" t="str">
        <f t="shared" si="4"/>
        <v>ייצור ציוד חשמלי</v>
      </c>
      <c r="D306" s="1">
        <v>45</v>
      </c>
      <c r="E306" s="2">
        <v>17391.383333333335</v>
      </c>
    </row>
    <row r="307" spans="1:5" x14ac:dyDescent="0.2">
      <c r="A307" s="1" t="s">
        <v>28</v>
      </c>
      <c r="B307" s="1">
        <v>29</v>
      </c>
      <c r="C307" s="1" t="str">
        <f t="shared" si="4"/>
        <v xml:space="preserve">ייצור כלי רכב מנועיים ונגררים </v>
      </c>
      <c r="D307" s="1">
        <v>16</v>
      </c>
      <c r="E307" s="2">
        <v>19345.941382575762</v>
      </c>
    </row>
    <row r="308" spans="1:5" x14ac:dyDescent="0.2">
      <c r="A308" s="1" t="s">
        <v>28</v>
      </c>
      <c r="B308" s="1">
        <v>31</v>
      </c>
      <c r="C308" s="1" t="str">
        <f t="shared" si="4"/>
        <v>ייצור רהיטים</v>
      </c>
      <c r="D308" s="1">
        <v>11</v>
      </c>
      <c r="E308" s="2">
        <v>11436.876623376622</v>
      </c>
    </row>
    <row r="309" spans="1:5" x14ac:dyDescent="0.2">
      <c r="A309" s="1" t="s">
        <v>28</v>
      </c>
      <c r="B309" s="1">
        <v>32</v>
      </c>
      <c r="C309" s="1" t="str">
        <f t="shared" si="4"/>
        <v>ענפי ייצור אחרים</v>
      </c>
      <c r="D309" s="1">
        <v>46</v>
      </c>
      <c r="E309" s="2">
        <v>15493.272546113309</v>
      </c>
    </row>
    <row r="310" spans="1:5" x14ac:dyDescent="0.2">
      <c r="A310" s="1" t="s">
        <v>28</v>
      </c>
      <c r="B310" s="1">
        <v>33</v>
      </c>
      <c r="C310" s="1" t="str">
        <f t="shared" si="4"/>
        <v>תיקון, תחזוקה והתקנה של מכונות וציוד</v>
      </c>
      <c r="D310" s="1">
        <v>16</v>
      </c>
      <c r="E310" s="2">
        <v>13842.922301136365</v>
      </c>
    </row>
    <row r="311" spans="1:5" x14ac:dyDescent="0.2">
      <c r="A311" s="1" t="s">
        <v>28</v>
      </c>
      <c r="B311" s="1">
        <v>36</v>
      </c>
      <c r="C311" s="1" t="str">
        <f t="shared" si="4"/>
        <v>אגירת מים, טיפול ואספקה</v>
      </c>
      <c r="D311" s="1">
        <v>23</v>
      </c>
      <c r="E311" s="2">
        <v>16843.471256038651</v>
      </c>
    </row>
    <row r="312" spans="1:5" x14ac:dyDescent="0.2">
      <c r="A312" s="1" t="s">
        <v>28</v>
      </c>
      <c r="B312" s="1">
        <v>41</v>
      </c>
      <c r="C312" s="1" t="str">
        <f t="shared" si="4"/>
        <v>בניית מבנים ובניינים</v>
      </c>
      <c r="D312" s="1">
        <v>40</v>
      </c>
      <c r="E312" s="2">
        <v>11159.663809523809</v>
      </c>
    </row>
    <row r="313" spans="1:5" x14ac:dyDescent="0.2">
      <c r="A313" s="1" t="s">
        <v>28</v>
      </c>
      <c r="B313" s="1">
        <v>42</v>
      </c>
      <c r="C313" s="1" t="str">
        <f t="shared" si="4"/>
        <v xml:space="preserve">עבודות הנדסה אזרחית </v>
      </c>
      <c r="D313" s="1">
        <v>29</v>
      </c>
      <c r="E313" s="2">
        <v>15369.195812807882</v>
      </c>
    </row>
    <row r="314" spans="1:5" x14ac:dyDescent="0.2">
      <c r="A314" s="1" t="s">
        <v>28</v>
      </c>
      <c r="B314" s="1">
        <v>43</v>
      </c>
      <c r="C314" s="1" t="str">
        <f t="shared" si="4"/>
        <v xml:space="preserve">עבודות בנייה מיוחדות </v>
      </c>
      <c r="D314" s="1">
        <v>66</v>
      </c>
      <c r="E314" s="2">
        <v>10886.683682605275</v>
      </c>
    </row>
    <row r="315" spans="1:5" x14ac:dyDescent="0.2">
      <c r="A315" s="1" t="s">
        <v>28</v>
      </c>
      <c r="B315" s="1">
        <v>45</v>
      </c>
      <c r="C315" s="1" t="str">
        <f t="shared" si="4"/>
        <v>מסחר סיטוני וקמעוני בכלי רכב מנועיים ובאופנועים ותיקונם</v>
      </c>
      <c r="D315" s="1">
        <v>56</v>
      </c>
      <c r="E315" s="2">
        <v>12752.469417388167</v>
      </c>
    </row>
    <row r="316" spans="1:5" x14ac:dyDescent="0.2">
      <c r="A316" s="1" t="s">
        <v>28</v>
      </c>
      <c r="B316" s="1">
        <v>46</v>
      </c>
      <c r="C316" s="1" t="str">
        <f t="shared" si="4"/>
        <v>מסחר סיטוני, פרט לכלי רכב מנועיים ולאופנועים</v>
      </c>
      <c r="D316" s="1">
        <v>127</v>
      </c>
      <c r="E316" s="2">
        <v>14276.262022360834</v>
      </c>
    </row>
    <row r="317" spans="1:5" x14ac:dyDescent="0.2">
      <c r="A317" s="1" t="s">
        <v>28</v>
      </c>
      <c r="B317" s="1">
        <v>47</v>
      </c>
      <c r="C317" s="1" t="str">
        <f t="shared" si="4"/>
        <v>מכירה קמעונית, פרט לכלי רכב מנועיים ולאופנועים</v>
      </c>
      <c r="D317" s="1">
        <v>202</v>
      </c>
      <c r="E317" s="2">
        <v>7885.5436840112607</v>
      </c>
    </row>
    <row r="318" spans="1:5" x14ac:dyDescent="0.2">
      <c r="A318" s="1" t="s">
        <v>28</v>
      </c>
      <c r="B318" s="1">
        <v>49</v>
      </c>
      <c r="C318" s="1" t="str">
        <f t="shared" si="4"/>
        <v>הובלה יבשתית והובלה באמצעות קווי צינורות</v>
      </c>
      <c r="D318" s="1">
        <v>76</v>
      </c>
      <c r="E318" s="2">
        <v>12361.983808954201</v>
      </c>
    </row>
    <row r="319" spans="1:5" x14ac:dyDescent="0.2">
      <c r="A319" s="1" t="s">
        <v>28</v>
      </c>
      <c r="B319" s="1">
        <v>52</v>
      </c>
      <c r="C319" s="1" t="str">
        <f t="shared" si="4"/>
        <v>אחסנה ושירותי עזר לתחבורה</v>
      </c>
      <c r="D319" s="1">
        <v>35</v>
      </c>
      <c r="E319" s="2">
        <v>11645.238174603175</v>
      </c>
    </row>
    <row r="320" spans="1:5" x14ac:dyDescent="0.2">
      <c r="A320" s="1" t="s">
        <v>28</v>
      </c>
      <c r="B320" s="1">
        <v>55</v>
      </c>
      <c r="C320" s="1" t="str">
        <f t="shared" si="4"/>
        <v>שירותי אירוח</v>
      </c>
      <c r="D320" s="1">
        <v>105</v>
      </c>
      <c r="E320" s="2">
        <v>8656.5645454545447</v>
      </c>
    </row>
    <row r="321" spans="1:5" x14ac:dyDescent="0.2">
      <c r="A321" s="1" t="s">
        <v>28</v>
      </c>
      <c r="B321" s="1">
        <v>56</v>
      </c>
      <c r="C321" s="1" t="str">
        <f t="shared" si="4"/>
        <v xml:space="preserve">שירותי מזון ומשקאות </v>
      </c>
      <c r="D321" s="1">
        <v>309</v>
      </c>
      <c r="E321" s="2">
        <v>5418.9207105731421</v>
      </c>
    </row>
    <row r="322" spans="1:5" x14ac:dyDescent="0.2">
      <c r="A322" s="1" t="s">
        <v>28</v>
      </c>
      <c r="B322" s="1">
        <v>61</v>
      </c>
      <c r="C322" s="1" t="str">
        <f t="shared" si="4"/>
        <v>שירותי תקשורת</v>
      </c>
      <c r="D322" s="1">
        <v>16</v>
      </c>
      <c r="E322" s="2">
        <v>16885.506696428569</v>
      </c>
    </row>
    <row r="323" spans="1:5" x14ac:dyDescent="0.2">
      <c r="A323" s="1" t="s">
        <v>28</v>
      </c>
      <c r="B323" s="1">
        <v>62</v>
      </c>
      <c r="C323" s="1" t="str">
        <f t="shared" ref="C323:C386" si="5">INDEX(L:L,MATCH(B323,K:K,0))</f>
        <v>תכנות מחשבים, ייעוץ בתחום המחשבים ושירותים נלווים אחרים</v>
      </c>
      <c r="D323" s="1">
        <v>98</v>
      </c>
      <c r="E323" s="2">
        <v>20425.088145301412</v>
      </c>
    </row>
    <row r="324" spans="1:5" x14ac:dyDescent="0.2">
      <c r="A324" s="1" t="s">
        <v>28</v>
      </c>
      <c r="B324" s="1">
        <v>64</v>
      </c>
      <c r="C324" s="1" t="str">
        <f t="shared" si="5"/>
        <v>שירותים פיננסיים, פרט לביטוח ולקרנות פנסיה</v>
      </c>
      <c r="D324" s="1">
        <v>68</v>
      </c>
      <c r="E324" s="2">
        <v>17209.7939171123</v>
      </c>
    </row>
    <row r="325" spans="1:5" x14ac:dyDescent="0.2">
      <c r="A325" s="1" t="s">
        <v>28</v>
      </c>
      <c r="B325" s="1">
        <v>68</v>
      </c>
      <c r="C325" s="1" t="str">
        <f t="shared" si="5"/>
        <v>פעילויות בנדל"ן</v>
      </c>
      <c r="D325" s="1">
        <v>19</v>
      </c>
      <c r="E325" s="2">
        <v>12716.51134654819</v>
      </c>
    </row>
    <row r="326" spans="1:5" x14ac:dyDescent="0.2">
      <c r="A326" s="1" t="s">
        <v>28</v>
      </c>
      <c r="B326" s="1">
        <v>69</v>
      </c>
      <c r="C326" s="1" t="str">
        <f t="shared" si="5"/>
        <v>שירותים משפטיים ושירותי חשבונאות</v>
      </c>
      <c r="D326" s="1">
        <v>48</v>
      </c>
      <c r="E326" s="2">
        <v>11717.899389730643</v>
      </c>
    </row>
    <row r="327" spans="1:5" x14ac:dyDescent="0.2">
      <c r="A327" s="1" t="s">
        <v>28</v>
      </c>
      <c r="B327" s="1">
        <v>70</v>
      </c>
      <c r="C327" s="1" t="str">
        <f t="shared" si="5"/>
        <v>שירותי משרדים ראשיים; שירותי ייעוץ ניהולי</v>
      </c>
      <c r="D327" s="1">
        <v>46</v>
      </c>
      <c r="E327" s="2">
        <v>9709.8523166447103</v>
      </c>
    </row>
    <row r="328" spans="1:5" x14ac:dyDescent="0.2">
      <c r="A328" s="1" t="s">
        <v>28</v>
      </c>
      <c r="B328" s="1">
        <v>71</v>
      </c>
      <c r="C328" s="1" t="str">
        <f t="shared" si="5"/>
        <v>שירותי אדריכלות והנדסה; בדיקות טכניות וניתוח נתונים טכניים</v>
      </c>
      <c r="D328" s="1">
        <v>70</v>
      </c>
      <c r="E328" s="2">
        <v>14224.183623995052</v>
      </c>
    </row>
    <row r="329" spans="1:5" x14ac:dyDescent="0.2">
      <c r="A329" s="1" t="s">
        <v>28</v>
      </c>
      <c r="B329" s="1">
        <v>72</v>
      </c>
      <c r="C329" s="1" t="str">
        <f t="shared" si="5"/>
        <v>מחקר מדעי ופיתוח</v>
      </c>
      <c r="D329" s="1">
        <v>61</v>
      </c>
      <c r="E329" s="2">
        <v>20897.329396423251</v>
      </c>
    </row>
    <row r="330" spans="1:5" x14ac:dyDescent="0.2">
      <c r="A330" s="1" t="s">
        <v>28</v>
      </c>
      <c r="B330" s="1">
        <v>73</v>
      </c>
      <c r="C330" s="1" t="str">
        <f t="shared" si="5"/>
        <v>פרסום וחקר שווקים</v>
      </c>
      <c r="D330" s="1">
        <v>22</v>
      </c>
      <c r="E330" s="2">
        <v>9355.9174439197159</v>
      </c>
    </row>
    <row r="331" spans="1:5" x14ac:dyDescent="0.2">
      <c r="A331" s="1" t="s">
        <v>28</v>
      </c>
      <c r="B331" s="1">
        <v>74</v>
      </c>
      <c r="C331" s="1" t="str">
        <f t="shared" si="5"/>
        <v>סוגים אחרים של שירותים מקצועיים, מדעיים וטכניים</v>
      </c>
      <c r="D331" s="1">
        <v>15</v>
      </c>
      <c r="E331" s="2">
        <v>10559.316233766234</v>
      </c>
    </row>
    <row r="332" spans="1:5" x14ac:dyDescent="0.2">
      <c r="A332" s="1" t="s">
        <v>28</v>
      </c>
      <c r="B332" s="1">
        <v>77</v>
      </c>
      <c r="C332" s="1" t="str">
        <f t="shared" si="5"/>
        <v>שירותי השכרה והחכרה</v>
      </c>
      <c r="D332" s="1">
        <v>14</v>
      </c>
      <c r="E332" s="2">
        <v>8220.7314265099976</v>
      </c>
    </row>
    <row r="333" spans="1:5" x14ac:dyDescent="0.2">
      <c r="A333" s="1" t="s">
        <v>28</v>
      </c>
      <c r="B333" s="1">
        <v>78</v>
      </c>
      <c r="C333" s="1" t="str">
        <f t="shared" si="5"/>
        <v>שירותי תעסוקה</v>
      </c>
      <c r="D333" s="1">
        <v>14</v>
      </c>
      <c r="E333" s="2">
        <v>6866.1239692846839</v>
      </c>
    </row>
    <row r="334" spans="1:5" x14ac:dyDescent="0.2">
      <c r="A334" s="1" t="s">
        <v>28</v>
      </c>
      <c r="B334" s="1">
        <v>79</v>
      </c>
      <c r="C334" s="1" t="str">
        <f t="shared" si="5"/>
        <v>פעילויות של סוכנויות נסיעות, מארגני טיולים, הזמנות ושירותים נלווים</v>
      </c>
      <c r="D334" s="1">
        <v>42</v>
      </c>
      <c r="E334" s="2">
        <v>10340.225254243111</v>
      </c>
    </row>
    <row r="335" spans="1:5" x14ac:dyDescent="0.2">
      <c r="A335" s="1" t="s">
        <v>28</v>
      </c>
      <c r="B335" s="1">
        <v>80</v>
      </c>
      <c r="C335" s="1" t="str">
        <f t="shared" si="5"/>
        <v>שירותי שמירה, אבטחה וחקירה</v>
      </c>
      <c r="D335" s="1">
        <v>28</v>
      </c>
      <c r="E335" s="2">
        <v>8273.6527210884342</v>
      </c>
    </row>
    <row r="336" spans="1:5" x14ac:dyDescent="0.2">
      <c r="A336" s="1" t="s">
        <v>28</v>
      </c>
      <c r="B336" s="1">
        <v>81</v>
      </c>
      <c r="C336" s="1" t="str">
        <f t="shared" si="5"/>
        <v>שירותי תחזוקה לבניינים ועבודות גינון</v>
      </c>
      <c r="D336" s="1">
        <v>29</v>
      </c>
      <c r="E336" s="2">
        <v>8752.7584900731472</v>
      </c>
    </row>
    <row r="337" spans="1:5" x14ac:dyDescent="0.2">
      <c r="A337" s="1" t="s">
        <v>28</v>
      </c>
      <c r="B337" s="1">
        <v>82</v>
      </c>
      <c r="C337" s="1" t="str">
        <f t="shared" si="5"/>
        <v>שירותי ניהול ותמיכה למשרדים ולעסקים</v>
      </c>
      <c r="D337" s="1">
        <v>22</v>
      </c>
      <c r="E337" s="2">
        <v>6917.1725649350665</v>
      </c>
    </row>
    <row r="338" spans="1:5" x14ac:dyDescent="0.2">
      <c r="A338" s="1" t="s">
        <v>28</v>
      </c>
      <c r="B338" s="1">
        <v>83</v>
      </c>
      <c r="C338" s="1" t="str">
        <f t="shared" si="5"/>
        <v>מינהל מקומי</v>
      </c>
      <c r="D338" s="1">
        <v>230</v>
      </c>
      <c r="E338" s="2">
        <v>10749.086060606058</v>
      </c>
    </row>
    <row r="339" spans="1:5" x14ac:dyDescent="0.2">
      <c r="A339" s="1" t="s">
        <v>28</v>
      </c>
      <c r="B339" s="1">
        <v>84</v>
      </c>
      <c r="C339" s="1" t="str">
        <f t="shared" si="5"/>
        <v>מינהל ציבורי וביטחון; ביטוח לאומי חובה</v>
      </c>
      <c r="D339" s="1">
        <v>98</v>
      </c>
      <c r="E339" s="2">
        <v>18626.644075963723</v>
      </c>
    </row>
    <row r="340" spans="1:5" x14ac:dyDescent="0.2">
      <c r="A340" s="1" t="s">
        <v>28</v>
      </c>
      <c r="B340" s="1">
        <v>85</v>
      </c>
      <c r="C340" s="1" t="str">
        <f t="shared" si="5"/>
        <v>חינוך</v>
      </c>
      <c r="D340" s="1">
        <v>477</v>
      </c>
      <c r="E340" s="2">
        <v>12015.843904982743</v>
      </c>
    </row>
    <row r="341" spans="1:5" x14ac:dyDescent="0.2">
      <c r="A341" s="1" t="s">
        <v>28</v>
      </c>
      <c r="B341" s="1">
        <v>86</v>
      </c>
      <c r="C341" s="1" t="str">
        <f t="shared" si="5"/>
        <v>שירותי בריאות</v>
      </c>
      <c r="D341" s="1">
        <v>122</v>
      </c>
      <c r="E341" s="2">
        <v>14930.607270006862</v>
      </c>
    </row>
    <row r="342" spans="1:5" x14ac:dyDescent="0.2">
      <c r="A342" s="1" t="s">
        <v>28</v>
      </c>
      <c r="B342" s="1">
        <v>87</v>
      </c>
      <c r="C342" s="1" t="str">
        <f t="shared" si="5"/>
        <v>מגורים טיפוליים</v>
      </c>
      <c r="D342" s="1">
        <v>28</v>
      </c>
      <c r="E342" s="2">
        <v>8643.5385938466297</v>
      </c>
    </row>
    <row r="343" spans="1:5" x14ac:dyDescent="0.2">
      <c r="A343" s="1" t="s">
        <v>28</v>
      </c>
      <c r="B343" s="1">
        <v>88</v>
      </c>
      <c r="C343" s="1" t="str">
        <f t="shared" si="5"/>
        <v>שירותי רווחה וסעד ללא מגורים</v>
      </c>
      <c r="D343" s="1">
        <v>127</v>
      </c>
      <c r="E343" s="2">
        <v>5174.5433022576735</v>
      </c>
    </row>
    <row r="344" spans="1:5" x14ac:dyDescent="0.2">
      <c r="A344" s="1" t="s">
        <v>28</v>
      </c>
      <c r="B344" s="1">
        <v>90</v>
      </c>
      <c r="C344" s="1" t="str">
        <f t="shared" si="5"/>
        <v>יצירה, אמנות ובידור</v>
      </c>
      <c r="D344" s="1">
        <v>15</v>
      </c>
      <c r="E344" s="2">
        <v>8518.1352693602694</v>
      </c>
    </row>
    <row r="345" spans="1:5" x14ac:dyDescent="0.2">
      <c r="A345" s="1" t="s">
        <v>28</v>
      </c>
      <c r="B345" s="1">
        <v>91</v>
      </c>
      <c r="C345" s="1" t="str">
        <f t="shared" si="5"/>
        <v>הפעלת ספריות, ארכיונים, מוזאונים ופעילויות תרבות אחרות</v>
      </c>
      <c r="D345" s="1">
        <v>25</v>
      </c>
      <c r="E345" s="2">
        <v>13679.966060606057</v>
      </c>
    </row>
    <row r="346" spans="1:5" x14ac:dyDescent="0.2">
      <c r="A346" s="1" t="s">
        <v>28</v>
      </c>
      <c r="B346" s="1">
        <v>93</v>
      </c>
      <c r="C346" s="1" t="str">
        <f t="shared" si="5"/>
        <v>פעילויות ספורט, בילוי ופנאי</v>
      </c>
      <c r="D346" s="1">
        <v>114</v>
      </c>
      <c r="E346" s="2">
        <v>6158.0344687476281</v>
      </c>
    </row>
    <row r="347" spans="1:5" x14ac:dyDescent="0.2">
      <c r="A347" s="1" t="s">
        <v>28</v>
      </c>
      <c r="B347" s="1">
        <v>94</v>
      </c>
      <c r="C347" s="1" t="str">
        <f t="shared" si="5"/>
        <v>פעילויות של ארגוני חברים</v>
      </c>
      <c r="D347" s="1">
        <v>93</v>
      </c>
      <c r="E347" s="2">
        <v>8183.5494612018811</v>
      </c>
    </row>
    <row r="348" spans="1:5" x14ac:dyDescent="0.2">
      <c r="A348" s="1" t="s">
        <v>28</v>
      </c>
      <c r="B348" s="1">
        <v>96</v>
      </c>
      <c r="C348" s="1" t="str">
        <f t="shared" si="5"/>
        <v>שירותים אישיים אחרים</v>
      </c>
      <c r="D348" s="1">
        <v>11</v>
      </c>
      <c r="E348" s="2">
        <v>9429.4448773448785</v>
      </c>
    </row>
    <row r="349" spans="1:5" x14ac:dyDescent="0.2">
      <c r="A349" s="1" t="s">
        <v>29</v>
      </c>
      <c r="B349" s="1">
        <v>1</v>
      </c>
      <c r="C349" s="1" t="str">
        <f t="shared" si="5"/>
        <v>גידולים צמחיים</v>
      </c>
      <c r="D349" s="1">
        <v>149</v>
      </c>
      <c r="E349" s="2">
        <v>6229.8264638232758</v>
      </c>
    </row>
    <row r="350" spans="1:5" x14ac:dyDescent="0.2">
      <c r="A350" s="1" t="s">
        <v>29</v>
      </c>
      <c r="B350" s="1">
        <v>10</v>
      </c>
      <c r="C350" s="1" t="str">
        <f t="shared" si="5"/>
        <v>ייצור מוצרי מזון</v>
      </c>
      <c r="D350" s="1">
        <v>25</v>
      </c>
      <c r="E350" s="2">
        <v>4164.1901616161622</v>
      </c>
    </row>
    <row r="351" spans="1:5" x14ac:dyDescent="0.2">
      <c r="A351" s="1" t="s">
        <v>29</v>
      </c>
      <c r="B351" s="1">
        <v>11</v>
      </c>
      <c r="C351" s="1" t="str">
        <f t="shared" si="5"/>
        <v>ייצור משקאות</v>
      </c>
      <c r="D351" s="1">
        <v>14</v>
      </c>
      <c r="E351" s="2">
        <v>11716.459523809523</v>
      </c>
    </row>
    <row r="352" spans="1:5" x14ac:dyDescent="0.2">
      <c r="A352" s="1" t="s">
        <v>29</v>
      </c>
      <c r="B352" s="1">
        <v>13</v>
      </c>
      <c r="C352" s="1" t="str">
        <f t="shared" si="5"/>
        <v>ייצור טקסטיל</v>
      </c>
      <c r="D352" s="1">
        <v>14</v>
      </c>
      <c r="E352" s="2">
        <v>6471.3520923520919</v>
      </c>
    </row>
    <row r="353" spans="1:5" x14ac:dyDescent="0.2">
      <c r="A353" s="1" t="s">
        <v>29</v>
      </c>
      <c r="B353" s="1">
        <v>20</v>
      </c>
      <c r="C353" s="1" t="str">
        <f t="shared" si="5"/>
        <v>ייצור כימיקלים ומוצריהם</v>
      </c>
      <c r="D353" s="1">
        <v>21</v>
      </c>
      <c r="E353" s="2">
        <v>10343.145306809593</v>
      </c>
    </row>
    <row r="354" spans="1:5" x14ac:dyDescent="0.2">
      <c r="A354" s="1" t="s">
        <v>29</v>
      </c>
      <c r="B354" s="1">
        <v>22</v>
      </c>
      <c r="C354" s="1" t="str">
        <f t="shared" si="5"/>
        <v xml:space="preserve">ייצור מוצרי גומי ופלסטיק </v>
      </c>
      <c r="D354" s="1">
        <v>24</v>
      </c>
      <c r="E354" s="2">
        <v>8754.2782407407412</v>
      </c>
    </row>
    <row r="355" spans="1:5" x14ac:dyDescent="0.2">
      <c r="A355" s="1" t="s">
        <v>29</v>
      </c>
      <c r="B355" s="1">
        <v>23</v>
      </c>
      <c r="C355" s="1" t="str">
        <f t="shared" si="5"/>
        <v>ייצור מוצרים אחרים על בסיס מינרלים אל-מתכתיים</v>
      </c>
      <c r="D355" s="1">
        <v>37</v>
      </c>
      <c r="E355" s="2">
        <v>7601.9523058773057</v>
      </c>
    </row>
    <row r="356" spans="1:5" x14ac:dyDescent="0.2">
      <c r="A356" s="1" t="s">
        <v>29</v>
      </c>
      <c r="B356" s="1">
        <v>26</v>
      </c>
      <c r="C356" s="1" t="str">
        <f t="shared" si="5"/>
        <v>ייצור מחשבים, מכשור אלקטרוני ואופטי</v>
      </c>
      <c r="D356" s="1">
        <v>10</v>
      </c>
      <c r="E356" s="2">
        <v>17520.875808080811</v>
      </c>
    </row>
    <row r="357" spans="1:5" x14ac:dyDescent="0.2">
      <c r="A357" s="1" t="s">
        <v>29</v>
      </c>
      <c r="B357" s="1">
        <v>27</v>
      </c>
      <c r="C357" s="1" t="str">
        <f t="shared" si="5"/>
        <v>ייצור ציוד חשמלי</v>
      </c>
      <c r="D357" s="1">
        <v>14</v>
      </c>
      <c r="E357" s="2">
        <v>8320.5743970315416</v>
      </c>
    </row>
    <row r="358" spans="1:5" x14ac:dyDescent="0.2">
      <c r="A358" s="1" t="s">
        <v>29</v>
      </c>
      <c r="B358" s="1">
        <v>31</v>
      </c>
      <c r="C358" s="1" t="str">
        <f t="shared" si="5"/>
        <v>ייצור רהיטים</v>
      </c>
      <c r="D358" s="1">
        <v>24</v>
      </c>
      <c r="E358" s="2">
        <v>5775.5188416907176</v>
      </c>
    </row>
    <row r="359" spans="1:5" x14ac:dyDescent="0.2">
      <c r="A359" s="1" t="s">
        <v>29</v>
      </c>
      <c r="B359" s="1">
        <v>32</v>
      </c>
      <c r="C359" s="1" t="str">
        <f t="shared" si="5"/>
        <v>ענפי ייצור אחרים</v>
      </c>
      <c r="D359" s="1">
        <v>17</v>
      </c>
      <c r="E359" s="2">
        <v>8851.2093137254888</v>
      </c>
    </row>
    <row r="360" spans="1:5" x14ac:dyDescent="0.2">
      <c r="A360" s="1" t="s">
        <v>29</v>
      </c>
      <c r="B360" s="1">
        <v>41</v>
      </c>
      <c r="C360" s="1" t="str">
        <f t="shared" si="5"/>
        <v>בניית מבנים ובניינים</v>
      </c>
      <c r="D360" s="1">
        <v>504</v>
      </c>
      <c r="E360" s="2">
        <v>7354.7685781425344</v>
      </c>
    </row>
    <row r="361" spans="1:5" x14ac:dyDescent="0.2">
      <c r="A361" s="1" t="s">
        <v>29</v>
      </c>
      <c r="B361" s="1">
        <v>42</v>
      </c>
      <c r="C361" s="1" t="str">
        <f t="shared" si="5"/>
        <v xml:space="preserve">עבודות הנדסה אזרחית </v>
      </c>
      <c r="D361" s="1">
        <v>215</v>
      </c>
      <c r="E361" s="2">
        <v>8153.4879229168773</v>
      </c>
    </row>
    <row r="362" spans="1:5" x14ac:dyDescent="0.2">
      <c r="A362" s="1" t="s">
        <v>29</v>
      </c>
      <c r="B362" s="1">
        <v>43</v>
      </c>
      <c r="C362" s="1" t="str">
        <f t="shared" si="5"/>
        <v xml:space="preserve">עבודות בנייה מיוחדות </v>
      </c>
      <c r="D362" s="1">
        <v>421</v>
      </c>
      <c r="E362" s="2">
        <v>6071.4843371790566</v>
      </c>
    </row>
    <row r="363" spans="1:5" x14ac:dyDescent="0.2">
      <c r="A363" s="1" t="s">
        <v>29</v>
      </c>
      <c r="B363" s="1">
        <v>45</v>
      </c>
      <c r="C363" s="1" t="str">
        <f t="shared" si="5"/>
        <v>מסחר סיטוני וקמעוני בכלי רכב מנועיים ובאופנועים ותיקונם</v>
      </c>
      <c r="D363" s="1">
        <v>51</v>
      </c>
      <c r="E363" s="2">
        <v>6871.9623221005568</v>
      </c>
    </row>
    <row r="364" spans="1:5" x14ac:dyDescent="0.2">
      <c r="A364" s="1" t="s">
        <v>29</v>
      </c>
      <c r="B364" s="1">
        <v>46</v>
      </c>
      <c r="C364" s="1" t="str">
        <f t="shared" si="5"/>
        <v>מסחר סיטוני, פרט לכלי רכב מנועיים ולאופנועים</v>
      </c>
      <c r="D364" s="1">
        <v>119</v>
      </c>
      <c r="E364" s="2">
        <v>6695.0642702535542</v>
      </c>
    </row>
    <row r="365" spans="1:5" x14ac:dyDescent="0.2">
      <c r="A365" s="1" t="s">
        <v>29</v>
      </c>
      <c r="B365" s="1">
        <v>47</v>
      </c>
      <c r="C365" s="1" t="str">
        <f t="shared" si="5"/>
        <v>מכירה קמעונית, פרט לכלי רכב מנועיים ולאופנועים</v>
      </c>
      <c r="D365" s="1">
        <v>440</v>
      </c>
      <c r="E365" s="2">
        <v>4729.4022943722939</v>
      </c>
    </row>
    <row r="366" spans="1:5" x14ac:dyDescent="0.2">
      <c r="A366" s="1" t="s">
        <v>29</v>
      </c>
      <c r="B366" s="1">
        <v>49</v>
      </c>
      <c r="C366" s="1" t="str">
        <f t="shared" si="5"/>
        <v>הובלה יבשתית והובלה באמצעות קווי צינורות</v>
      </c>
      <c r="D366" s="1">
        <v>86</v>
      </c>
      <c r="E366" s="2">
        <v>7183.7364492097067</v>
      </c>
    </row>
    <row r="367" spans="1:5" x14ac:dyDescent="0.2">
      <c r="A367" s="1" t="s">
        <v>29</v>
      </c>
      <c r="B367" s="1">
        <v>52</v>
      </c>
      <c r="C367" s="1" t="str">
        <f t="shared" si="5"/>
        <v>אחסנה ושירותי עזר לתחבורה</v>
      </c>
      <c r="D367" s="1">
        <v>74</v>
      </c>
      <c r="E367" s="2">
        <v>5152.6851107601124</v>
      </c>
    </row>
    <row r="368" spans="1:5" x14ac:dyDescent="0.2">
      <c r="A368" s="1" t="s">
        <v>29</v>
      </c>
      <c r="B368" s="1">
        <v>55</v>
      </c>
      <c r="C368" s="1" t="str">
        <f t="shared" si="5"/>
        <v>שירותי אירוח</v>
      </c>
      <c r="D368" s="1">
        <v>105</v>
      </c>
      <c r="E368" s="2">
        <v>5925.6198690991559</v>
      </c>
    </row>
    <row r="369" spans="1:5" x14ac:dyDescent="0.2">
      <c r="A369" s="1" t="s">
        <v>29</v>
      </c>
      <c r="B369" s="1">
        <v>56</v>
      </c>
      <c r="C369" s="1" t="str">
        <f t="shared" si="5"/>
        <v xml:space="preserve">שירותי מזון ומשקאות </v>
      </c>
      <c r="D369" s="1">
        <v>258</v>
      </c>
      <c r="E369" s="2">
        <v>4255.7516465876906</v>
      </c>
    </row>
    <row r="370" spans="1:5" x14ac:dyDescent="0.2">
      <c r="A370" s="1" t="s">
        <v>29</v>
      </c>
      <c r="B370" s="1">
        <v>61</v>
      </c>
      <c r="C370" s="1" t="str">
        <f t="shared" si="5"/>
        <v>שירותי תקשורת</v>
      </c>
      <c r="D370" s="1">
        <v>14</v>
      </c>
      <c r="E370" s="2">
        <v>7913.4793083900231</v>
      </c>
    </row>
    <row r="371" spans="1:5" x14ac:dyDescent="0.2">
      <c r="A371" s="1" t="s">
        <v>29</v>
      </c>
      <c r="B371" s="1">
        <v>62</v>
      </c>
      <c r="C371" s="1" t="str">
        <f t="shared" si="5"/>
        <v>תכנות מחשבים, ייעוץ בתחום המחשבים ושירותים נלווים אחרים</v>
      </c>
      <c r="D371" s="1">
        <v>72</v>
      </c>
      <c r="E371" s="2">
        <v>16728.349825136283</v>
      </c>
    </row>
    <row r="372" spans="1:5" x14ac:dyDescent="0.2">
      <c r="A372" s="1" t="s">
        <v>29</v>
      </c>
      <c r="B372" s="1">
        <v>64</v>
      </c>
      <c r="C372" s="1" t="str">
        <f t="shared" si="5"/>
        <v>שירותים פיננסיים, פרט לביטוח ולקרנות פנסיה</v>
      </c>
      <c r="D372" s="1">
        <v>77</v>
      </c>
      <c r="E372" s="2">
        <v>7334.9983583516059</v>
      </c>
    </row>
    <row r="373" spans="1:5" x14ac:dyDescent="0.2">
      <c r="A373" s="1" t="s">
        <v>29</v>
      </c>
      <c r="B373" s="1">
        <v>68</v>
      </c>
      <c r="C373" s="1" t="str">
        <f t="shared" si="5"/>
        <v>פעילויות בנדל"ן</v>
      </c>
      <c r="D373" s="1">
        <v>35</v>
      </c>
      <c r="E373" s="2">
        <v>7089.7302886002899</v>
      </c>
    </row>
    <row r="374" spans="1:5" x14ac:dyDescent="0.2">
      <c r="A374" s="1" t="s">
        <v>29</v>
      </c>
      <c r="B374" s="1">
        <v>69</v>
      </c>
      <c r="C374" s="1" t="str">
        <f t="shared" si="5"/>
        <v>שירותים משפטיים ושירותי חשבונאות</v>
      </c>
      <c r="D374" s="1">
        <v>48</v>
      </c>
      <c r="E374" s="2">
        <v>5209.8248496873493</v>
      </c>
    </row>
    <row r="375" spans="1:5" x14ac:dyDescent="0.2">
      <c r="A375" s="1" t="s">
        <v>29</v>
      </c>
      <c r="B375" s="1">
        <v>70</v>
      </c>
      <c r="C375" s="1" t="str">
        <f t="shared" si="5"/>
        <v>שירותי משרדים ראשיים; שירותי ייעוץ ניהולי</v>
      </c>
      <c r="D375" s="1">
        <v>12</v>
      </c>
      <c r="E375" s="2">
        <v>9213.0303030303021</v>
      </c>
    </row>
    <row r="376" spans="1:5" x14ac:dyDescent="0.2">
      <c r="A376" s="1" t="s">
        <v>29</v>
      </c>
      <c r="B376" s="1">
        <v>71</v>
      </c>
      <c r="C376" s="1" t="str">
        <f t="shared" si="5"/>
        <v>שירותי אדריכלות והנדסה; בדיקות טכניות וניתוח נתונים טכניים</v>
      </c>
      <c r="D376" s="1">
        <v>168</v>
      </c>
      <c r="E376" s="2">
        <v>8553.2514827269315</v>
      </c>
    </row>
    <row r="377" spans="1:5" x14ac:dyDescent="0.2">
      <c r="A377" s="1" t="s">
        <v>29</v>
      </c>
      <c r="B377" s="1">
        <v>73</v>
      </c>
      <c r="C377" s="1" t="str">
        <f t="shared" si="5"/>
        <v>פרסום וחקר שווקים</v>
      </c>
      <c r="D377" s="1">
        <v>15</v>
      </c>
      <c r="E377" s="2">
        <v>5063.0659692159688</v>
      </c>
    </row>
    <row r="378" spans="1:5" x14ac:dyDescent="0.2">
      <c r="A378" s="1" t="s">
        <v>29</v>
      </c>
      <c r="B378" s="1">
        <v>78</v>
      </c>
      <c r="C378" s="1" t="str">
        <f t="shared" si="5"/>
        <v>שירותי תעסוקה</v>
      </c>
      <c r="D378" s="1">
        <v>189</v>
      </c>
      <c r="E378" s="2">
        <v>3905.049872305824</v>
      </c>
    </row>
    <row r="379" spans="1:5" x14ac:dyDescent="0.2">
      <c r="A379" s="1" t="s">
        <v>29</v>
      </c>
      <c r="B379" s="1">
        <v>79</v>
      </c>
      <c r="C379" s="1" t="str">
        <f t="shared" si="5"/>
        <v>פעילויות של סוכנויות נסיעות, מארגני טיולים, הזמנות ושירותים נלווים</v>
      </c>
      <c r="D379" s="1">
        <v>10</v>
      </c>
      <c r="E379" s="2">
        <v>3720.1033333333335</v>
      </c>
    </row>
    <row r="380" spans="1:5" x14ac:dyDescent="0.2">
      <c r="A380" s="1" t="s">
        <v>29</v>
      </c>
      <c r="B380" s="1">
        <v>80</v>
      </c>
      <c r="C380" s="1" t="str">
        <f t="shared" si="5"/>
        <v>שירותי שמירה, אבטחה וחקירה</v>
      </c>
      <c r="D380" s="1">
        <v>17</v>
      </c>
      <c r="E380" s="2">
        <v>6058.6673202614384</v>
      </c>
    </row>
    <row r="381" spans="1:5" x14ac:dyDescent="0.2">
      <c r="A381" s="1" t="s">
        <v>29</v>
      </c>
      <c r="B381" s="1">
        <v>81</v>
      </c>
      <c r="C381" s="1" t="str">
        <f t="shared" si="5"/>
        <v>שירותי תחזוקה לבניינים ועבודות גינון</v>
      </c>
      <c r="D381" s="1">
        <v>58</v>
      </c>
      <c r="E381" s="2">
        <v>4227.1709185450572</v>
      </c>
    </row>
    <row r="382" spans="1:5" x14ac:dyDescent="0.2">
      <c r="A382" s="1" t="s">
        <v>29</v>
      </c>
      <c r="B382" s="1">
        <v>82</v>
      </c>
      <c r="C382" s="1" t="str">
        <f t="shared" si="5"/>
        <v>שירותי ניהול ותמיכה למשרדים ולעסקים</v>
      </c>
      <c r="D382" s="1">
        <v>22</v>
      </c>
      <c r="E382" s="2">
        <v>5905.2760330578512</v>
      </c>
    </row>
    <row r="383" spans="1:5" x14ac:dyDescent="0.2">
      <c r="A383" s="1" t="s">
        <v>29</v>
      </c>
      <c r="B383" s="1">
        <v>83</v>
      </c>
      <c r="C383" s="1" t="str">
        <f t="shared" si="5"/>
        <v>מינהל מקומי</v>
      </c>
      <c r="D383" s="1">
        <v>184</v>
      </c>
      <c r="E383" s="2">
        <v>9483.8517437574483</v>
      </c>
    </row>
    <row r="384" spans="1:5" x14ac:dyDescent="0.2">
      <c r="A384" s="1" t="s">
        <v>29</v>
      </c>
      <c r="B384" s="1">
        <v>84</v>
      </c>
      <c r="C384" s="1" t="str">
        <f t="shared" si="5"/>
        <v>מינהל ציבורי וביטחון; ביטוח לאומי חובה</v>
      </c>
      <c r="D384" s="1">
        <v>58</v>
      </c>
      <c r="E384" s="2">
        <v>22865.034099616849</v>
      </c>
    </row>
    <row r="385" spans="1:5" x14ac:dyDescent="0.2">
      <c r="A385" s="1" t="s">
        <v>29</v>
      </c>
      <c r="B385" s="1">
        <v>85</v>
      </c>
      <c r="C385" s="1" t="str">
        <f t="shared" si="5"/>
        <v>חינוך</v>
      </c>
      <c r="D385" s="1">
        <v>411</v>
      </c>
      <c r="E385" s="2">
        <v>11806.897905014701</v>
      </c>
    </row>
    <row r="386" spans="1:5" x14ac:dyDescent="0.2">
      <c r="A386" s="1" t="s">
        <v>29</v>
      </c>
      <c r="B386" s="1">
        <v>86</v>
      </c>
      <c r="C386" s="1" t="str">
        <f t="shared" si="5"/>
        <v>שירותי בריאות</v>
      </c>
      <c r="D386" s="1">
        <v>194</v>
      </c>
      <c r="E386" s="2">
        <v>13947.237049991812</v>
      </c>
    </row>
    <row r="387" spans="1:5" x14ac:dyDescent="0.2">
      <c r="A387" s="1" t="s">
        <v>29</v>
      </c>
      <c r="B387" s="1">
        <v>87</v>
      </c>
      <c r="C387" s="1" t="str">
        <f t="shared" ref="C387:C450" si="6">INDEX(L:L,MATCH(B387,K:K,0))</f>
        <v>מגורים טיפוליים</v>
      </c>
      <c r="D387" s="1">
        <v>15</v>
      </c>
      <c r="E387" s="2">
        <v>6755.1656060606056</v>
      </c>
    </row>
    <row r="388" spans="1:5" x14ac:dyDescent="0.2">
      <c r="A388" s="1" t="s">
        <v>29</v>
      </c>
      <c r="B388" s="1">
        <v>88</v>
      </c>
      <c r="C388" s="1" t="str">
        <f t="shared" si="6"/>
        <v>שירותי רווחה וסעד ללא מגורים</v>
      </c>
      <c r="D388" s="1">
        <v>292</v>
      </c>
      <c r="E388" s="2">
        <v>3117.6834603372281</v>
      </c>
    </row>
    <row r="389" spans="1:5" x14ac:dyDescent="0.2">
      <c r="A389" s="1" t="s">
        <v>29</v>
      </c>
      <c r="B389" s="1">
        <v>91</v>
      </c>
      <c r="C389" s="1" t="str">
        <f t="shared" si="6"/>
        <v>הפעלת ספריות, ארכיונים, מוזאונים ופעילויות תרבות אחרות</v>
      </c>
      <c r="D389" s="1">
        <v>15</v>
      </c>
      <c r="E389" s="2">
        <v>8981.2183333333342</v>
      </c>
    </row>
    <row r="390" spans="1:5" x14ac:dyDescent="0.2">
      <c r="A390" s="1" t="s">
        <v>29</v>
      </c>
      <c r="B390" s="1">
        <v>93</v>
      </c>
      <c r="C390" s="1" t="str">
        <f t="shared" si="6"/>
        <v>פעילויות ספורט, בילוי ופנאי</v>
      </c>
      <c r="D390" s="1">
        <v>150</v>
      </c>
      <c r="E390" s="2">
        <v>5879.4989788359817</v>
      </c>
    </row>
    <row r="391" spans="1:5" x14ac:dyDescent="0.2">
      <c r="A391" s="1" t="s">
        <v>29</v>
      </c>
      <c r="B391" s="1">
        <v>94</v>
      </c>
      <c r="C391" s="1" t="str">
        <f t="shared" si="6"/>
        <v>פעילויות של ארגוני חברים</v>
      </c>
      <c r="D391" s="1">
        <v>25</v>
      </c>
      <c r="E391" s="2">
        <v>6545.0943174603171</v>
      </c>
    </row>
    <row r="392" spans="1:5" x14ac:dyDescent="0.2">
      <c r="A392" s="1" t="s">
        <v>29</v>
      </c>
      <c r="B392" s="1">
        <v>96</v>
      </c>
      <c r="C392" s="1" t="str">
        <f t="shared" si="6"/>
        <v>שירותים אישיים אחרים</v>
      </c>
      <c r="D392" s="1">
        <v>11</v>
      </c>
      <c r="E392" s="2">
        <v>3443.9152892561983</v>
      </c>
    </row>
    <row r="393" spans="1:5" x14ac:dyDescent="0.2">
      <c r="A393" s="1" t="s">
        <v>30</v>
      </c>
      <c r="B393" s="1">
        <v>1</v>
      </c>
      <c r="C393" s="1" t="str">
        <f t="shared" si="6"/>
        <v>גידולים צמחיים</v>
      </c>
      <c r="D393" s="1">
        <v>55</v>
      </c>
      <c r="E393" s="2">
        <v>8016.8960415846796</v>
      </c>
    </row>
    <row r="394" spans="1:5" x14ac:dyDescent="0.2">
      <c r="A394" s="1" t="s">
        <v>30</v>
      </c>
      <c r="B394" s="1">
        <v>10</v>
      </c>
      <c r="C394" s="1" t="str">
        <f t="shared" si="6"/>
        <v>ייצור מוצרי מזון</v>
      </c>
      <c r="D394" s="1">
        <v>11</v>
      </c>
      <c r="E394" s="2">
        <v>14229.435261707988</v>
      </c>
    </row>
    <row r="395" spans="1:5" x14ac:dyDescent="0.2">
      <c r="A395" s="1" t="s">
        <v>30</v>
      </c>
      <c r="B395" s="1">
        <v>11</v>
      </c>
      <c r="C395" s="1" t="str">
        <f t="shared" si="6"/>
        <v>ייצור משקאות</v>
      </c>
      <c r="D395" s="1">
        <v>12</v>
      </c>
      <c r="E395" s="2">
        <v>9337.7949134199134</v>
      </c>
    </row>
    <row r="396" spans="1:5" x14ac:dyDescent="0.2">
      <c r="A396" s="1" t="s">
        <v>30</v>
      </c>
      <c r="B396" s="1">
        <v>26</v>
      </c>
      <c r="C396" s="1" t="str">
        <f t="shared" si="6"/>
        <v>ייצור מחשבים, מכשור אלקטרוני ואופטי</v>
      </c>
      <c r="D396" s="1">
        <v>15</v>
      </c>
      <c r="E396" s="2">
        <v>25721.87777777778</v>
      </c>
    </row>
    <row r="397" spans="1:5" x14ac:dyDescent="0.2">
      <c r="A397" s="1" t="s">
        <v>30</v>
      </c>
      <c r="B397" s="1">
        <v>27</v>
      </c>
      <c r="C397" s="1" t="str">
        <f t="shared" si="6"/>
        <v>ייצור ציוד חשמלי</v>
      </c>
      <c r="D397" s="1">
        <v>10</v>
      </c>
      <c r="E397" s="2">
        <v>18990.791666666668</v>
      </c>
    </row>
    <row r="398" spans="1:5" x14ac:dyDescent="0.2">
      <c r="A398" s="1" t="s">
        <v>30</v>
      </c>
      <c r="B398" s="1">
        <v>32</v>
      </c>
      <c r="C398" s="1" t="str">
        <f t="shared" si="6"/>
        <v>ענפי ייצור אחרים</v>
      </c>
      <c r="D398" s="1">
        <v>12</v>
      </c>
      <c r="E398" s="2">
        <v>12301.375757575757</v>
      </c>
    </row>
    <row r="399" spans="1:5" x14ac:dyDescent="0.2">
      <c r="A399" s="1" t="s">
        <v>30</v>
      </c>
      <c r="B399" s="1">
        <v>45</v>
      </c>
      <c r="C399" s="1" t="str">
        <f t="shared" si="6"/>
        <v>מסחר סיטוני וקמעוני בכלי רכב מנועיים ובאופנועים ותיקונם</v>
      </c>
      <c r="D399" s="1">
        <v>11</v>
      </c>
      <c r="E399" s="2">
        <v>11069.600550964185</v>
      </c>
    </row>
    <row r="400" spans="1:5" x14ac:dyDescent="0.2">
      <c r="A400" s="1" t="s">
        <v>30</v>
      </c>
      <c r="B400" s="1">
        <v>46</v>
      </c>
      <c r="C400" s="1" t="str">
        <f t="shared" si="6"/>
        <v>מסחר סיטוני, פרט לכלי רכב מנועיים ולאופנועים</v>
      </c>
      <c r="D400" s="1">
        <v>20</v>
      </c>
      <c r="E400" s="2">
        <v>10004.96369047619</v>
      </c>
    </row>
    <row r="401" spans="1:5" x14ac:dyDescent="0.2">
      <c r="A401" s="1" t="s">
        <v>30</v>
      </c>
      <c r="B401" s="1">
        <v>47</v>
      </c>
      <c r="C401" s="1" t="str">
        <f t="shared" si="6"/>
        <v>מכירה קמעונית, פרט לכלי רכב מנועיים ולאופנועים</v>
      </c>
      <c r="D401" s="1">
        <v>46</v>
      </c>
      <c r="E401" s="2">
        <v>8182.9828886693022</v>
      </c>
    </row>
    <row r="402" spans="1:5" x14ac:dyDescent="0.2">
      <c r="A402" s="1" t="s">
        <v>30</v>
      </c>
      <c r="B402" s="1">
        <v>49</v>
      </c>
      <c r="C402" s="1" t="str">
        <f t="shared" si="6"/>
        <v>הובלה יבשתית והובלה באמצעות קווי צינורות</v>
      </c>
      <c r="D402" s="1">
        <v>12</v>
      </c>
      <c r="E402" s="2">
        <v>13776.240530303026</v>
      </c>
    </row>
    <row r="403" spans="1:5" x14ac:dyDescent="0.2">
      <c r="A403" s="1" t="s">
        <v>30</v>
      </c>
      <c r="B403" s="1">
        <v>55</v>
      </c>
      <c r="C403" s="1" t="str">
        <f t="shared" si="6"/>
        <v>שירותי אירוח</v>
      </c>
      <c r="D403" s="1">
        <v>30</v>
      </c>
      <c r="E403" s="2">
        <v>8802.0533742183743</v>
      </c>
    </row>
    <row r="404" spans="1:5" x14ac:dyDescent="0.2">
      <c r="A404" s="1" t="s">
        <v>30</v>
      </c>
      <c r="B404" s="1">
        <v>56</v>
      </c>
      <c r="C404" s="1" t="str">
        <f t="shared" si="6"/>
        <v xml:space="preserve">שירותי מזון ומשקאות </v>
      </c>
      <c r="D404" s="1">
        <v>97</v>
      </c>
      <c r="E404" s="2">
        <v>5370.2179151604387</v>
      </c>
    </row>
    <row r="405" spans="1:5" x14ac:dyDescent="0.2">
      <c r="A405" s="1" t="s">
        <v>30</v>
      </c>
      <c r="B405" s="1">
        <v>62</v>
      </c>
      <c r="C405" s="1" t="str">
        <f t="shared" si="6"/>
        <v>תכנות מחשבים, ייעוץ בתחום המחשבים ושירותים נלווים אחרים</v>
      </c>
      <c r="D405" s="1">
        <v>31</v>
      </c>
      <c r="E405" s="2">
        <v>23604.827624167945</v>
      </c>
    </row>
    <row r="406" spans="1:5" x14ac:dyDescent="0.2">
      <c r="A406" s="1" t="s">
        <v>30</v>
      </c>
      <c r="B406" s="1">
        <v>64</v>
      </c>
      <c r="C406" s="1" t="str">
        <f t="shared" si="6"/>
        <v>שירותים פיננסיים, פרט לביטוח ולקרנות פנסיה</v>
      </c>
      <c r="D406" s="1">
        <v>11</v>
      </c>
      <c r="E406" s="2">
        <v>22313.839761248852</v>
      </c>
    </row>
    <row r="407" spans="1:5" x14ac:dyDescent="0.2">
      <c r="A407" s="1" t="s">
        <v>30</v>
      </c>
      <c r="B407" s="1">
        <v>70</v>
      </c>
      <c r="C407" s="1" t="str">
        <f t="shared" si="6"/>
        <v>שירותי משרדים ראשיים; שירותי ייעוץ ניהולי</v>
      </c>
      <c r="D407" s="1">
        <v>24</v>
      </c>
      <c r="E407" s="2">
        <v>12429.454861111111</v>
      </c>
    </row>
    <row r="408" spans="1:5" x14ac:dyDescent="0.2">
      <c r="A408" s="1" t="s">
        <v>30</v>
      </c>
      <c r="B408" s="1">
        <v>71</v>
      </c>
      <c r="C408" s="1" t="str">
        <f t="shared" si="6"/>
        <v>שירותי אדריכלות והנדסה; בדיקות טכניות וניתוח נתונים טכניים</v>
      </c>
      <c r="D408" s="1">
        <v>11</v>
      </c>
      <c r="E408" s="2">
        <v>11527.333333333334</v>
      </c>
    </row>
    <row r="409" spans="1:5" x14ac:dyDescent="0.2">
      <c r="A409" s="1" t="s">
        <v>30</v>
      </c>
      <c r="B409" s="1">
        <v>72</v>
      </c>
      <c r="C409" s="1" t="str">
        <f t="shared" si="6"/>
        <v>מחקר מדעי ופיתוח</v>
      </c>
      <c r="D409" s="1">
        <v>26</v>
      </c>
      <c r="E409" s="2">
        <v>12194.07531080031</v>
      </c>
    </row>
    <row r="410" spans="1:5" x14ac:dyDescent="0.2">
      <c r="A410" s="1" t="s">
        <v>30</v>
      </c>
      <c r="B410" s="1">
        <v>80</v>
      </c>
      <c r="C410" s="1" t="str">
        <f t="shared" si="6"/>
        <v>שירותי שמירה, אבטחה וחקירה</v>
      </c>
      <c r="D410" s="1">
        <v>12</v>
      </c>
      <c r="E410" s="2">
        <v>8490.3188131313127</v>
      </c>
    </row>
    <row r="411" spans="1:5" x14ac:dyDescent="0.2">
      <c r="A411" s="1" t="s">
        <v>30</v>
      </c>
      <c r="B411" s="1">
        <v>83</v>
      </c>
      <c r="C411" s="1" t="str">
        <f t="shared" si="6"/>
        <v>מינהל מקומי</v>
      </c>
      <c r="D411" s="1">
        <v>47</v>
      </c>
      <c r="E411" s="2">
        <v>10752.387168800466</v>
      </c>
    </row>
    <row r="412" spans="1:5" x14ac:dyDescent="0.2">
      <c r="A412" s="1" t="s">
        <v>30</v>
      </c>
      <c r="B412" s="1">
        <v>84</v>
      </c>
      <c r="C412" s="1" t="str">
        <f t="shared" si="6"/>
        <v>מינהל ציבורי וביטחון; ביטוח לאומי חובה</v>
      </c>
      <c r="D412" s="1">
        <v>13</v>
      </c>
      <c r="E412" s="2">
        <v>20679.251831501831</v>
      </c>
    </row>
    <row r="413" spans="1:5" x14ac:dyDescent="0.2">
      <c r="A413" s="1" t="s">
        <v>30</v>
      </c>
      <c r="B413" s="1">
        <v>85</v>
      </c>
      <c r="C413" s="1" t="str">
        <f t="shared" si="6"/>
        <v>חינוך</v>
      </c>
      <c r="D413" s="1">
        <v>144</v>
      </c>
      <c r="E413" s="2">
        <v>11140.562569394337</v>
      </c>
    </row>
    <row r="414" spans="1:5" x14ac:dyDescent="0.2">
      <c r="A414" s="1" t="s">
        <v>30</v>
      </c>
      <c r="B414" s="1">
        <v>86</v>
      </c>
      <c r="C414" s="1" t="str">
        <f t="shared" si="6"/>
        <v>שירותי בריאות</v>
      </c>
      <c r="D414" s="1">
        <v>19</v>
      </c>
      <c r="E414" s="2">
        <v>22003.968567251464</v>
      </c>
    </row>
    <row r="415" spans="1:5" x14ac:dyDescent="0.2">
      <c r="A415" s="1" t="s">
        <v>30</v>
      </c>
      <c r="B415" s="1">
        <v>88</v>
      </c>
      <c r="C415" s="1" t="str">
        <f t="shared" si="6"/>
        <v>שירותי רווחה וסעד ללא מגורים</v>
      </c>
      <c r="D415" s="1">
        <v>49</v>
      </c>
      <c r="E415" s="2">
        <v>6361.9729753806287</v>
      </c>
    </row>
    <row r="416" spans="1:5" x14ac:dyDescent="0.2">
      <c r="A416" s="1" t="s">
        <v>30</v>
      </c>
      <c r="B416" s="1">
        <v>93</v>
      </c>
      <c r="C416" s="1" t="str">
        <f t="shared" si="6"/>
        <v>פעילויות ספורט, בילוי ופנאי</v>
      </c>
      <c r="D416" s="1">
        <v>44</v>
      </c>
      <c r="E416" s="2">
        <v>4434.0678538633074</v>
      </c>
    </row>
    <row r="417" spans="1:5" x14ac:dyDescent="0.2">
      <c r="A417" s="1" t="s">
        <v>30</v>
      </c>
      <c r="B417" s="1">
        <v>94</v>
      </c>
      <c r="C417" s="1" t="str">
        <f t="shared" si="6"/>
        <v>פעילויות של ארגוני חברים</v>
      </c>
      <c r="D417" s="1">
        <v>43</v>
      </c>
      <c r="E417" s="2">
        <v>6951.7180878552972</v>
      </c>
    </row>
    <row r="418" spans="1:5" x14ac:dyDescent="0.2">
      <c r="A418" s="1" t="s">
        <v>31</v>
      </c>
      <c r="B418" s="1">
        <v>1</v>
      </c>
      <c r="C418" s="1" t="str">
        <f t="shared" si="6"/>
        <v>גידולים צמחיים</v>
      </c>
      <c r="D418" s="1">
        <v>101</v>
      </c>
      <c r="E418" s="2">
        <v>5638.8328264969341</v>
      </c>
    </row>
    <row r="419" spans="1:5" x14ac:dyDescent="0.2">
      <c r="A419" s="1" t="s">
        <v>31</v>
      </c>
      <c r="B419" s="1">
        <v>4</v>
      </c>
      <c r="C419" s="1" t="str">
        <f t="shared" si="6"/>
        <v>גידול בעלי חיים, ציד ופעילויות נלוות</v>
      </c>
      <c r="D419" s="1">
        <v>21</v>
      </c>
      <c r="E419" s="2">
        <v>10678.129966329967</v>
      </c>
    </row>
    <row r="420" spans="1:5" x14ac:dyDescent="0.2">
      <c r="A420" s="1" t="s">
        <v>31</v>
      </c>
      <c r="B420" s="1">
        <v>10</v>
      </c>
      <c r="C420" s="1" t="str">
        <f t="shared" si="6"/>
        <v>ייצור מוצרי מזון</v>
      </c>
      <c r="D420" s="1">
        <v>10</v>
      </c>
      <c r="E420" s="2">
        <v>8800.2578787878811</v>
      </c>
    </row>
    <row r="421" spans="1:5" x14ac:dyDescent="0.2">
      <c r="A421" s="1" t="s">
        <v>31</v>
      </c>
      <c r="B421" s="1">
        <v>13</v>
      </c>
      <c r="C421" s="1" t="str">
        <f t="shared" si="6"/>
        <v>ייצור טקסטיל</v>
      </c>
      <c r="D421" s="1">
        <v>10</v>
      </c>
      <c r="E421" s="2">
        <v>7677.6357142857141</v>
      </c>
    </row>
    <row r="422" spans="1:5" x14ac:dyDescent="0.2">
      <c r="A422" s="1" t="s">
        <v>31</v>
      </c>
      <c r="B422" s="1">
        <v>32</v>
      </c>
      <c r="C422" s="1" t="str">
        <f t="shared" si="6"/>
        <v>ענפי ייצור אחרים</v>
      </c>
      <c r="D422" s="1">
        <v>10</v>
      </c>
      <c r="E422" s="2">
        <v>7819.8305555555562</v>
      </c>
    </row>
    <row r="423" spans="1:5" x14ac:dyDescent="0.2">
      <c r="A423" s="1" t="s">
        <v>31</v>
      </c>
      <c r="B423" s="1">
        <v>41</v>
      </c>
      <c r="C423" s="1" t="str">
        <f t="shared" si="6"/>
        <v>בניית מבנים ובניינים</v>
      </c>
      <c r="D423" s="1">
        <v>142</v>
      </c>
      <c r="E423" s="2">
        <v>6450.8133129585576</v>
      </c>
    </row>
    <row r="424" spans="1:5" x14ac:dyDescent="0.2">
      <c r="A424" s="1" t="s">
        <v>31</v>
      </c>
      <c r="B424" s="1">
        <v>42</v>
      </c>
      <c r="C424" s="1" t="str">
        <f t="shared" si="6"/>
        <v xml:space="preserve">עבודות הנדסה אזרחית </v>
      </c>
      <c r="D424" s="1">
        <v>118</v>
      </c>
      <c r="E424" s="2">
        <v>5867.1932756744181</v>
      </c>
    </row>
    <row r="425" spans="1:5" x14ac:dyDescent="0.2">
      <c r="A425" s="1" t="s">
        <v>31</v>
      </c>
      <c r="B425" s="1">
        <v>43</v>
      </c>
      <c r="C425" s="1" t="str">
        <f t="shared" si="6"/>
        <v xml:space="preserve">עבודות בנייה מיוחדות </v>
      </c>
      <c r="D425" s="1">
        <v>155</v>
      </c>
      <c r="E425" s="2">
        <v>5326.4807017176363</v>
      </c>
    </row>
    <row r="426" spans="1:5" x14ac:dyDescent="0.2">
      <c r="A426" s="1" t="s">
        <v>31</v>
      </c>
      <c r="B426" s="1">
        <v>45</v>
      </c>
      <c r="C426" s="1" t="str">
        <f t="shared" si="6"/>
        <v>מסחר סיטוני וקמעוני בכלי רכב מנועיים ובאופנועים ותיקונם</v>
      </c>
      <c r="D426" s="1">
        <v>16</v>
      </c>
      <c r="E426" s="2">
        <v>8328.3026515151505</v>
      </c>
    </row>
    <row r="427" spans="1:5" x14ac:dyDescent="0.2">
      <c r="A427" s="1" t="s">
        <v>31</v>
      </c>
      <c r="B427" s="1">
        <v>46</v>
      </c>
      <c r="C427" s="1" t="str">
        <f t="shared" si="6"/>
        <v>מסחר סיטוני, פרט לכלי רכב מנועיים ולאופנועים</v>
      </c>
      <c r="D427" s="1">
        <v>57</v>
      </c>
      <c r="E427" s="2">
        <v>5733.4737228171452</v>
      </c>
    </row>
    <row r="428" spans="1:5" x14ac:dyDescent="0.2">
      <c r="A428" s="1" t="s">
        <v>31</v>
      </c>
      <c r="B428" s="1">
        <v>47</v>
      </c>
      <c r="C428" s="1" t="str">
        <f t="shared" si="6"/>
        <v>מכירה קמעונית, פרט לכלי רכב מנועיים ולאופנועים</v>
      </c>
      <c r="D428" s="1">
        <v>138</v>
      </c>
      <c r="E428" s="2">
        <v>4717.4416687579742</v>
      </c>
    </row>
    <row r="429" spans="1:5" x14ac:dyDescent="0.2">
      <c r="A429" s="1" t="s">
        <v>31</v>
      </c>
      <c r="B429" s="1">
        <v>49</v>
      </c>
      <c r="C429" s="1" t="str">
        <f t="shared" si="6"/>
        <v>הובלה יבשתית והובלה באמצעות קווי צינורות</v>
      </c>
      <c r="D429" s="1">
        <v>42</v>
      </c>
      <c r="E429" s="2">
        <v>5854.8677119837848</v>
      </c>
    </row>
    <row r="430" spans="1:5" x14ac:dyDescent="0.2">
      <c r="A430" s="1" t="s">
        <v>31</v>
      </c>
      <c r="B430" s="1">
        <v>52</v>
      </c>
      <c r="C430" s="1" t="str">
        <f t="shared" si="6"/>
        <v>אחסנה ושירותי עזר לתחבורה</v>
      </c>
      <c r="D430" s="1">
        <v>27</v>
      </c>
      <c r="E430" s="2">
        <v>5108.4160787771907</v>
      </c>
    </row>
    <row r="431" spans="1:5" x14ac:dyDescent="0.2">
      <c r="A431" s="1" t="s">
        <v>31</v>
      </c>
      <c r="B431" s="1">
        <v>55</v>
      </c>
      <c r="C431" s="1" t="str">
        <f t="shared" si="6"/>
        <v>שירותי אירוח</v>
      </c>
      <c r="D431" s="1">
        <v>45</v>
      </c>
      <c r="E431" s="2">
        <v>6539.2275653358993</v>
      </c>
    </row>
    <row r="432" spans="1:5" x14ac:dyDescent="0.2">
      <c r="A432" s="1" t="s">
        <v>31</v>
      </c>
      <c r="B432" s="1">
        <v>56</v>
      </c>
      <c r="C432" s="1" t="str">
        <f t="shared" si="6"/>
        <v xml:space="preserve">שירותי מזון ומשקאות </v>
      </c>
      <c r="D432" s="1">
        <v>65</v>
      </c>
      <c r="E432" s="2">
        <v>3765.3124536574551</v>
      </c>
    </row>
    <row r="433" spans="1:5" x14ac:dyDescent="0.2">
      <c r="A433" s="1" t="s">
        <v>31</v>
      </c>
      <c r="B433" s="1">
        <v>64</v>
      </c>
      <c r="C433" s="1" t="str">
        <f t="shared" si="6"/>
        <v>שירותים פיננסיים, פרט לביטוח ולקרנות פנסיה</v>
      </c>
      <c r="D433" s="1">
        <v>10</v>
      </c>
      <c r="E433" s="2">
        <v>9229.9967460317457</v>
      </c>
    </row>
    <row r="434" spans="1:5" x14ac:dyDescent="0.2">
      <c r="A434" s="1" t="s">
        <v>31</v>
      </c>
      <c r="B434" s="1">
        <v>71</v>
      </c>
      <c r="C434" s="1" t="str">
        <f t="shared" si="6"/>
        <v>שירותי אדריכלות והנדסה; בדיקות טכניות וניתוח נתונים טכניים</v>
      </c>
      <c r="D434" s="1">
        <v>28</v>
      </c>
      <c r="E434" s="2">
        <v>6643.1895833333338</v>
      </c>
    </row>
    <row r="435" spans="1:5" x14ac:dyDescent="0.2">
      <c r="A435" s="1" t="s">
        <v>31</v>
      </c>
      <c r="B435" s="1">
        <v>78</v>
      </c>
      <c r="C435" s="1" t="str">
        <f t="shared" si="6"/>
        <v>שירותי תעסוקה</v>
      </c>
      <c r="D435" s="1">
        <v>63</v>
      </c>
      <c r="E435" s="2">
        <v>3077.7692434549576</v>
      </c>
    </row>
    <row r="436" spans="1:5" x14ac:dyDescent="0.2">
      <c r="A436" s="1" t="s">
        <v>31</v>
      </c>
      <c r="B436" s="1">
        <v>81</v>
      </c>
      <c r="C436" s="1" t="str">
        <f t="shared" si="6"/>
        <v>שירותי תחזוקה לבניינים ועבודות גינון</v>
      </c>
      <c r="D436" s="1">
        <v>27</v>
      </c>
      <c r="E436" s="2">
        <v>3140.0772967772959</v>
      </c>
    </row>
    <row r="437" spans="1:5" x14ac:dyDescent="0.2">
      <c r="A437" s="1" t="s">
        <v>31</v>
      </c>
      <c r="B437" s="1">
        <v>83</v>
      </c>
      <c r="C437" s="1" t="str">
        <f t="shared" si="6"/>
        <v>מינהל מקומי</v>
      </c>
      <c r="D437" s="1">
        <v>85</v>
      </c>
      <c r="E437" s="2">
        <v>8617.8424144809451</v>
      </c>
    </row>
    <row r="438" spans="1:5" x14ac:dyDescent="0.2">
      <c r="A438" s="1" t="s">
        <v>31</v>
      </c>
      <c r="B438" s="1">
        <v>84</v>
      </c>
      <c r="C438" s="1" t="str">
        <f t="shared" si="6"/>
        <v>מינהל ציבורי וביטחון; ביטוח לאומי חובה</v>
      </c>
      <c r="D438" s="1">
        <v>14</v>
      </c>
      <c r="E438" s="2">
        <v>27027.604437229438</v>
      </c>
    </row>
    <row r="439" spans="1:5" x14ac:dyDescent="0.2">
      <c r="A439" s="1" t="s">
        <v>31</v>
      </c>
      <c r="B439" s="1">
        <v>85</v>
      </c>
      <c r="C439" s="1" t="str">
        <f t="shared" si="6"/>
        <v>חינוך</v>
      </c>
      <c r="D439" s="1">
        <v>127</v>
      </c>
      <c r="E439" s="2">
        <v>12095.371557248525</v>
      </c>
    </row>
    <row r="440" spans="1:5" x14ac:dyDescent="0.2">
      <c r="A440" s="1" t="s">
        <v>31</v>
      </c>
      <c r="B440" s="1">
        <v>86</v>
      </c>
      <c r="C440" s="1" t="str">
        <f t="shared" si="6"/>
        <v>שירותי בריאות</v>
      </c>
      <c r="D440" s="1">
        <v>72</v>
      </c>
      <c r="E440" s="2">
        <v>15795.654105539517</v>
      </c>
    </row>
    <row r="441" spans="1:5" x14ac:dyDescent="0.2">
      <c r="A441" s="1" t="s">
        <v>31</v>
      </c>
      <c r="B441" s="1">
        <v>88</v>
      </c>
      <c r="C441" s="1" t="str">
        <f t="shared" si="6"/>
        <v>שירותי רווחה וסעד ללא מגורים</v>
      </c>
      <c r="D441" s="1">
        <v>130</v>
      </c>
      <c r="E441" s="2">
        <v>2876.7542696192695</v>
      </c>
    </row>
    <row r="442" spans="1:5" x14ac:dyDescent="0.2">
      <c r="A442" s="1" t="s">
        <v>31</v>
      </c>
      <c r="B442" s="1">
        <v>93</v>
      </c>
      <c r="C442" s="1" t="str">
        <f t="shared" si="6"/>
        <v>פעילויות ספורט, בילוי ופנאי</v>
      </c>
      <c r="D442" s="1">
        <v>19</v>
      </c>
      <c r="E442" s="2">
        <v>5793.5115914786975</v>
      </c>
    </row>
    <row r="443" spans="1:5" x14ac:dyDescent="0.2">
      <c r="A443" s="1" t="s">
        <v>32</v>
      </c>
      <c r="B443" s="1">
        <v>1</v>
      </c>
      <c r="C443" s="1" t="str">
        <f t="shared" si="6"/>
        <v>גידולים צמחיים</v>
      </c>
      <c r="D443" s="1">
        <v>360</v>
      </c>
      <c r="E443" s="2">
        <v>8061.5493179814011</v>
      </c>
    </row>
    <row r="444" spans="1:5" x14ac:dyDescent="0.2">
      <c r="A444" s="1" t="s">
        <v>32</v>
      </c>
      <c r="B444" s="1">
        <v>2</v>
      </c>
      <c r="C444" s="1" t="str">
        <f t="shared" si="6"/>
        <v>ייעור וכריתת עצים</v>
      </c>
      <c r="D444" s="1">
        <v>18</v>
      </c>
      <c r="E444" s="2">
        <v>11556.796957671957</v>
      </c>
    </row>
    <row r="445" spans="1:5" x14ac:dyDescent="0.2">
      <c r="A445" s="1" t="s">
        <v>32</v>
      </c>
      <c r="B445" s="1">
        <v>4</v>
      </c>
      <c r="C445" s="1" t="str">
        <f t="shared" si="6"/>
        <v>גידול בעלי חיים, ציד ופעילויות נלוות</v>
      </c>
      <c r="D445" s="1">
        <v>123</v>
      </c>
      <c r="E445" s="2">
        <v>9191.8874209575461</v>
      </c>
    </row>
    <row r="446" spans="1:5" x14ac:dyDescent="0.2">
      <c r="A446" s="1" t="s">
        <v>32</v>
      </c>
      <c r="B446" s="1">
        <v>8</v>
      </c>
      <c r="C446" s="1" t="str">
        <f t="shared" si="6"/>
        <v>סוגים אחרים של כרייה וחציבה</v>
      </c>
      <c r="D446" s="1">
        <v>20</v>
      </c>
      <c r="E446" s="2">
        <v>16193.650357142862</v>
      </c>
    </row>
    <row r="447" spans="1:5" x14ac:dyDescent="0.2">
      <c r="A447" s="1" t="s">
        <v>32</v>
      </c>
      <c r="B447" s="1">
        <v>10</v>
      </c>
      <c r="C447" s="1" t="str">
        <f t="shared" si="6"/>
        <v>ייצור מוצרי מזון</v>
      </c>
      <c r="D447" s="1">
        <v>178</v>
      </c>
      <c r="E447" s="2">
        <v>8697.7224325923744</v>
      </c>
    </row>
    <row r="448" spans="1:5" x14ac:dyDescent="0.2">
      <c r="A448" s="1" t="s">
        <v>32</v>
      </c>
      <c r="B448" s="1">
        <v>11</v>
      </c>
      <c r="C448" s="1" t="str">
        <f t="shared" si="6"/>
        <v>ייצור משקאות</v>
      </c>
      <c r="D448" s="1">
        <v>75</v>
      </c>
      <c r="E448" s="2">
        <v>11615.046945646949</v>
      </c>
    </row>
    <row r="449" spans="1:5" x14ac:dyDescent="0.2">
      <c r="A449" s="1" t="s">
        <v>32</v>
      </c>
      <c r="B449" s="1">
        <v>13</v>
      </c>
      <c r="C449" s="1" t="str">
        <f t="shared" si="6"/>
        <v>ייצור טקסטיל</v>
      </c>
      <c r="D449" s="1">
        <v>11</v>
      </c>
      <c r="E449" s="2">
        <v>13146.742424242424</v>
      </c>
    </row>
    <row r="450" spans="1:5" x14ac:dyDescent="0.2">
      <c r="A450" s="1" t="s">
        <v>32</v>
      </c>
      <c r="B450" s="1">
        <v>20</v>
      </c>
      <c r="C450" s="1" t="str">
        <f t="shared" si="6"/>
        <v>ייצור כימיקלים ומוצריהם</v>
      </c>
      <c r="D450" s="1">
        <v>34</v>
      </c>
      <c r="E450" s="2">
        <v>9337.7551619132482</v>
      </c>
    </row>
    <row r="451" spans="1:5" x14ac:dyDescent="0.2">
      <c r="A451" s="1" t="s">
        <v>32</v>
      </c>
      <c r="B451" s="1">
        <v>21</v>
      </c>
      <c r="C451" s="1" t="str">
        <f t="shared" ref="C451:C514" si="7">INDEX(L:L,MATCH(B451,K:K,0))</f>
        <v>ייצור תרופות, כולל תרופות הומאופתיות</v>
      </c>
      <c r="D451" s="1">
        <v>13</v>
      </c>
      <c r="E451" s="2">
        <v>11569.455128205127</v>
      </c>
    </row>
    <row r="452" spans="1:5" x14ac:dyDescent="0.2">
      <c r="A452" s="1" t="s">
        <v>32</v>
      </c>
      <c r="B452" s="1">
        <v>22</v>
      </c>
      <c r="C452" s="1" t="str">
        <f t="shared" si="7"/>
        <v xml:space="preserve">ייצור מוצרי גומי ופלסטיק </v>
      </c>
      <c r="D452" s="1">
        <v>34</v>
      </c>
      <c r="E452" s="2">
        <v>14234.752005347593</v>
      </c>
    </row>
    <row r="453" spans="1:5" x14ac:dyDescent="0.2">
      <c r="A453" s="1" t="s">
        <v>32</v>
      </c>
      <c r="B453" s="1">
        <v>23</v>
      </c>
      <c r="C453" s="1" t="str">
        <f t="shared" si="7"/>
        <v>ייצור מוצרים אחרים על בסיס מינרלים אל-מתכתיים</v>
      </c>
      <c r="D453" s="1">
        <v>97</v>
      </c>
      <c r="E453" s="2">
        <v>13386.158817557016</v>
      </c>
    </row>
    <row r="454" spans="1:5" x14ac:dyDescent="0.2">
      <c r="A454" s="1" t="s">
        <v>32</v>
      </c>
      <c r="B454" s="1">
        <v>26</v>
      </c>
      <c r="C454" s="1" t="str">
        <f t="shared" si="7"/>
        <v>ייצור מחשבים, מכשור אלקטרוני ואופטי</v>
      </c>
      <c r="D454" s="1">
        <v>67</v>
      </c>
      <c r="E454" s="2">
        <v>22385.483129805518</v>
      </c>
    </row>
    <row r="455" spans="1:5" x14ac:dyDescent="0.2">
      <c r="A455" s="1" t="s">
        <v>32</v>
      </c>
      <c r="B455" s="1">
        <v>27</v>
      </c>
      <c r="C455" s="1" t="str">
        <f t="shared" si="7"/>
        <v>ייצור ציוד חשמלי</v>
      </c>
      <c r="D455" s="1">
        <v>94</v>
      </c>
      <c r="E455" s="2">
        <v>11628.239120690181</v>
      </c>
    </row>
    <row r="456" spans="1:5" x14ac:dyDescent="0.2">
      <c r="A456" s="1" t="s">
        <v>32</v>
      </c>
      <c r="B456" s="1">
        <v>29</v>
      </c>
      <c r="C456" s="1" t="str">
        <f t="shared" si="7"/>
        <v xml:space="preserve">ייצור כלי רכב מנועיים ונגררים </v>
      </c>
      <c r="D456" s="1">
        <v>63</v>
      </c>
      <c r="E456" s="2">
        <v>13607.23302469135</v>
      </c>
    </row>
    <row r="457" spans="1:5" x14ac:dyDescent="0.2">
      <c r="A457" s="1" t="s">
        <v>32</v>
      </c>
      <c r="B457" s="1">
        <v>31</v>
      </c>
      <c r="C457" s="1" t="str">
        <f t="shared" si="7"/>
        <v>ייצור רהיטים</v>
      </c>
      <c r="D457" s="1">
        <v>29</v>
      </c>
      <c r="E457" s="2">
        <v>9040.3448101706726</v>
      </c>
    </row>
    <row r="458" spans="1:5" x14ac:dyDescent="0.2">
      <c r="A458" s="1" t="s">
        <v>32</v>
      </c>
      <c r="B458" s="1">
        <v>32</v>
      </c>
      <c r="C458" s="1" t="str">
        <f t="shared" si="7"/>
        <v>ענפי ייצור אחרים</v>
      </c>
      <c r="D458" s="1">
        <v>113</v>
      </c>
      <c r="E458" s="2">
        <v>12751.3659189876</v>
      </c>
    </row>
    <row r="459" spans="1:5" x14ac:dyDescent="0.2">
      <c r="A459" s="1" t="s">
        <v>32</v>
      </c>
      <c r="B459" s="1">
        <v>35</v>
      </c>
      <c r="C459" s="1" t="str">
        <f t="shared" si="7"/>
        <v>אספקת חשמל, גז, קיטור ומיזוג אוויר (קירור)</v>
      </c>
      <c r="D459" s="1">
        <v>17</v>
      </c>
      <c r="E459" s="2">
        <v>27308.107843137259</v>
      </c>
    </row>
    <row r="460" spans="1:5" x14ac:dyDescent="0.2">
      <c r="A460" s="1" t="s">
        <v>32</v>
      </c>
      <c r="B460" s="1">
        <v>36</v>
      </c>
      <c r="C460" s="1" t="str">
        <f t="shared" si="7"/>
        <v>אגירת מים, טיפול ואספקה</v>
      </c>
      <c r="D460" s="1">
        <v>25</v>
      </c>
      <c r="E460" s="2">
        <v>20873.30387878788</v>
      </c>
    </row>
    <row r="461" spans="1:5" x14ac:dyDescent="0.2">
      <c r="A461" s="1" t="s">
        <v>32</v>
      </c>
      <c r="B461" s="1">
        <v>38</v>
      </c>
      <c r="C461" s="1" t="str">
        <f t="shared" si="7"/>
        <v>איסוף, טיפול וסילוק של אשפה ופסולת; מחזור (והשבה) של חומרים</v>
      </c>
      <c r="D461" s="1">
        <v>31</v>
      </c>
      <c r="E461" s="2">
        <v>14297.669674859195</v>
      </c>
    </row>
    <row r="462" spans="1:5" x14ac:dyDescent="0.2">
      <c r="A462" s="1" t="s">
        <v>32</v>
      </c>
      <c r="B462" s="1">
        <v>41</v>
      </c>
      <c r="C462" s="1" t="str">
        <f t="shared" si="7"/>
        <v>בניית מבנים ובניינים</v>
      </c>
      <c r="D462" s="1">
        <v>96</v>
      </c>
      <c r="E462" s="2">
        <v>11812.628791260824</v>
      </c>
    </row>
    <row r="463" spans="1:5" x14ac:dyDescent="0.2">
      <c r="A463" s="1" t="s">
        <v>32</v>
      </c>
      <c r="B463" s="1">
        <v>42</v>
      </c>
      <c r="C463" s="1" t="str">
        <f t="shared" si="7"/>
        <v xml:space="preserve">עבודות הנדסה אזרחית </v>
      </c>
      <c r="D463" s="1">
        <v>42</v>
      </c>
      <c r="E463" s="2">
        <v>15276.875130557275</v>
      </c>
    </row>
    <row r="464" spans="1:5" x14ac:dyDescent="0.2">
      <c r="A464" s="1" t="s">
        <v>32</v>
      </c>
      <c r="B464" s="1">
        <v>43</v>
      </c>
      <c r="C464" s="1" t="str">
        <f t="shared" si="7"/>
        <v xml:space="preserve">עבודות בנייה מיוחדות </v>
      </c>
      <c r="D464" s="1">
        <v>124</v>
      </c>
      <c r="E464" s="2">
        <v>9493.085958955915</v>
      </c>
    </row>
    <row r="465" spans="1:5" x14ac:dyDescent="0.2">
      <c r="A465" s="1" t="s">
        <v>32</v>
      </c>
      <c r="B465" s="1">
        <v>45</v>
      </c>
      <c r="C465" s="1" t="str">
        <f t="shared" si="7"/>
        <v>מסחר סיטוני וקמעוני בכלי רכב מנועיים ובאופנועים ותיקונם</v>
      </c>
      <c r="D465" s="1">
        <v>46</v>
      </c>
      <c r="E465" s="2">
        <v>11342.405544576195</v>
      </c>
    </row>
    <row r="466" spans="1:5" x14ac:dyDescent="0.2">
      <c r="A466" s="1" t="s">
        <v>32</v>
      </c>
      <c r="B466" s="1">
        <v>46</v>
      </c>
      <c r="C466" s="1" t="str">
        <f t="shared" si="7"/>
        <v>מסחר סיטוני, פרט לכלי רכב מנועיים ולאופנועים</v>
      </c>
      <c r="D466" s="1">
        <v>202</v>
      </c>
      <c r="E466" s="2">
        <v>11523.240302780287</v>
      </c>
    </row>
    <row r="467" spans="1:5" x14ac:dyDescent="0.2">
      <c r="A467" s="1" t="s">
        <v>32</v>
      </c>
      <c r="B467" s="1">
        <v>47</v>
      </c>
      <c r="C467" s="1" t="str">
        <f t="shared" si="7"/>
        <v>מכירה קמעונית, פרט לכלי רכב מנועיים ולאופנועים</v>
      </c>
      <c r="D467" s="1">
        <v>433</v>
      </c>
      <c r="E467" s="2">
        <v>6335.6027896083951</v>
      </c>
    </row>
    <row r="468" spans="1:5" x14ac:dyDescent="0.2">
      <c r="A468" s="1" t="s">
        <v>32</v>
      </c>
      <c r="B468" s="1">
        <v>49</v>
      </c>
      <c r="C468" s="1" t="str">
        <f t="shared" si="7"/>
        <v>הובלה יבשתית והובלה באמצעות קווי צינורות</v>
      </c>
      <c r="D468" s="1">
        <v>193</v>
      </c>
      <c r="E468" s="2">
        <v>11052.300951035138</v>
      </c>
    </row>
    <row r="469" spans="1:5" x14ac:dyDescent="0.2">
      <c r="A469" s="1" t="s">
        <v>32</v>
      </c>
      <c r="B469" s="1">
        <v>52</v>
      </c>
      <c r="C469" s="1" t="str">
        <f t="shared" si="7"/>
        <v>אחסנה ושירותי עזר לתחבורה</v>
      </c>
      <c r="D469" s="1">
        <v>25</v>
      </c>
      <c r="E469" s="2">
        <v>13588.123809523811</v>
      </c>
    </row>
    <row r="470" spans="1:5" x14ac:dyDescent="0.2">
      <c r="A470" s="1" t="s">
        <v>32</v>
      </c>
      <c r="B470" s="1">
        <v>55</v>
      </c>
      <c r="C470" s="1" t="str">
        <f t="shared" si="7"/>
        <v>שירותי אירוח</v>
      </c>
      <c r="D470" s="1">
        <v>197</v>
      </c>
      <c r="E470" s="2">
        <v>5683.1943962833539</v>
      </c>
    </row>
    <row r="471" spans="1:5" x14ac:dyDescent="0.2">
      <c r="A471" s="1" t="s">
        <v>32</v>
      </c>
      <c r="B471" s="1">
        <v>56</v>
      </c>
      <c r="C471" s="1" t="str">
        <f t="shared" si="7"/>
        <v xml:space="preserve">שירותי מזון ומשקאות </v>
      </c>
      <c r="D471" s="1">
        <v>373</v>
      </c>
      <c r="E471" s="2">
        <v>4670.9743517132274</v>
      </c>
    </row>
    <row r="472" spans="1:5" x14ac:dyDescent="0.2">
      <c r="A472" s="1" t="s">
        <v>32</v>
      </c>
      <c r="B472" s="1">
        <v>61</v>
      </c>
      <c r="C472" s="1" t="str">
        <f t="shared" si="7"/>
        <v>שירותי תקשורת</v>
      </c>
      <c r="D472" s="1">
        <v>15</v>
      </c>
      <c r="E472" s="2">
        <v>16094.506666666666</v>
      </c>
    </row>
    <row r="473" spans="1:5" x14ac:dyDescent="0.2">
      <c r="A473" s="1" t="s">
        <v>32</v>
      </c>
      <c r="B473" s="1">
        <v>62</v>
      </c>
      <c r="C473" s="1" t="str">
        <f t="shared" si="7"/>
        <v>תכנות מחשבים, ייעוץ בתחום המחשבים ושירותים נלווים אחרים</v>
      </c>
      <c r="D473" s="1">
        <v>141</v>
      </c>
      <c r="E473" s="2">
        <v>23968.262240438838</v>
      </c>
    </row>
    <row r="474" spans="1:5" x14ac:dyDescent="0.2">
      <c r="A474" s="1" t="s">
        <v>32</v>
      </c>
      <c r="B474" s="1">
        <v>64</v>
      </c>
      <c r="C474" s="1" t="str">
        <f t="shared" si="7"/>
        <v>שירותים פיננסיים, פרט לביטוח ולקרנות פנסיה</v>
      </c>
      <c r="D474" s="1">
        <v>106</v>
      </c>
      <c r="E474" s="2">
        <v>15233.819864412317</v>
      </c>
    </row>
    <row r="475" spans="1:5" x14ac:dyDescent="0.2">
      <c r="A475" s="1" t="s">
        <v>32</v>
      </c>
      <c r="B475" s="1">
        <v>68</v>
      </c>
      <c r="C475" s="1" t="str">
        <f t="shared" si="7"/>
        <v>פעילויות בנדל"ן</v>
      </c>
      <c r="D475" s="1">
        <v>32</v>
      </c>
      <c r="E475" s="2">
        <v>13351.018623737375</v>
      </c>
    </row>
    <row r="476" spans="1:5" x14ac:dyDescent="0.2">
      <c r="A476" s="1" t="s">
        <v>32</v>
      </c>
      <c r="B476" s="1">
        <v>69</v>
      </c>
      <c r="C476" s="1" t="str">
        <f t="shared" si="7"/>
        <v>שירותים משפטיים ושירותי חשבונאות</v>
      </c>
      <c r="D476" s="1">
        <v>68</v>
      </c>
      <c r="E476" s="2">
        <v>10578.873839763179</v>
      </c>
    </row>
    <row r="477" spans="1:5" x14ac:dyDescent="0.2">
      <c r="A477" s="1" t="s">
        <v>32</v>
      </c>
      <c r="B477" s="1">
        <v>70</v>
      </c>
      <c r="C477" s="1" t="str">
        <f t="shared" si="7"/>
        <v>שירותי משרדים ראשיים; שירותי ייעוץ ניהולי</v>
      </c>
      <c r="D477" s="1">
        <v>36</v>
      </c>
      <c r="E477" s="2">
        <v>10754.361522967774</v>
      </c>
    </row>
    <row r="478" spans="1:5" x14ac:dyDescent="0.2">
      <c r="A478" s="1" t="s">
        <v>32</v>
      </c>
      <c r="B478" s="1">
        <v>71</v>
      </c>
      <c r="C478" s="1" t="str">
        <f t="shared" si="7"/>
        <v>שירותי אדריכלות והנדסה; בדיקות טכניות וניתוח נתונים טכניים</v>
      </c>
      <c r="D478" s="1">
        <v>65</v>
      </c>
      <c r="E478" s="2">
        <v>14008.288927738931</v>
      </c>
    </row>
    <row r="479" spans="1:5" x14ac:dyDescent="0.2">
      <c r="A479" s="1" t="s">
        <v>32</v>
      </c>
      <c r="B479" s="1">
        <v>72</v>
      </c>
      <c r="C479" s="1" t="str">
        <f t="shared" si="7"/>
        <v>מחקר מדעי ופיתוח</v>
      </c>
      <c r="D479" s="1">
        <v>50</v>
      </c>
      <c r="E479" s="2">
        <v>23468.638396103899</v>
      </c>
    </row>
    <row r="480" spans="1:5" x14ac:dyDescent="0.2">
      <c r="A480" s="1" t="s">
        <v>32</v>
      </c>
      <c r="B480" s="1">
        <v>73</v>
      </c>
      <c r="C480" s="1" t="str">
        <f t="shared" si="7"/>
        <v>פרסום וחקר שווקים</v>
      </c>
      <c r="D480" s="1">
        <v>32</v>
      </c>
      <c r="E480" s="2">
        <v>8345.909665854977</v>
      </c>
    </row>
    <row r="481" spans="1:5" x14ac:dyDescent="0.2">
      <c r="A481" s="1" t="s">
        <v>32</v>
      </c>
      <c r="B481" s="1">
        <v>74</v>
      </c>
      <c r="C481" s="1" t="str">
        <f t="shared" si="7"/>
        <v>סוגים אחרים של שירותים מקצועיים, מדעיים וטכניים</v>
      </c>
      <c r="D481" s="1">
        <v>14</v>
      </c>
      <c r="E481" s="2">
        <v>10846.034686147186</v>
      </c>
    </row>
    <row r="482" spans="1:5" x14ac:dyDescent="0.2">
      <c r="A482" s="1" t="s">
        <v>32</v>
      </c>
      <c r="B482" s="1">
        <v>78</v>
      </c>
      <c r="C482" s="1" t="str">
        <f t="shared" si="7"/>
        <v>שירותי תעסוקה</v>
      </c>
      <c r="D482" s="1">
        <v>77</v>
      </c>
      <c r="E482" s="2">
        <v>4848.0855371900816</v>
      </c>
    </row>
    <row r="483" spans="1:5" x14ac:dyDescent="0.2">
      <c r="A483" s="1" t="s">
        <v>32</v>
      </c>
      <c r="B483" s="1">
        <v>79</v>
      </c>
      <c r="C483" s="1" t="str">
        <f t="shared" si="7"/>
        <v>פעילויות של סוכנויות נסיעות, מארגני טיולים, הזמנות ושירותים נלווים</v>
      </c>
      <c r="D483" s="1">
        <v>20</v>
      </c>
      <c r="E483" s="2">
        <v>4660.2024494949492</v>
      </c>
    </row>
    <row r="484" spans="1:5" x14ac:dyDescent="0.2">
      <c r="A484" s="1" t="s">
        <v>32</v>
      </c>
      <c r="B484" s="1">
        <v>80</v>
      </c>
      <c r="C484" s="1" t="str">
        <f t="shared" si="7"/>
        <v>שירותי שמירה, אבטחה וחקירה</v>
      </c>
      <c r="D484" s="1">
        <v>69</v>
      </c>
      <c r="E484" s="2">
        <v>7085.2795198360418</v>
      </c>
    </row>
    <row r="485" spans="1:5" x14ac:dyDescent="0.2">
      <c r="A485" s="1" t="s">
        <v>32</v>
      </c>
      <c r="B485" s="1">
        <v>81</v>
      </c>
      <c r="C485" s="1" t="str">
        <f t="shared" si="7"/>
        <v>שירותי תחזוקה לבניינים ועבודות גינון</v>
      </c>
      <c r="D485" s="1">
        <v>104</v>
      </c>
      <c r="E485" s="2">
        <v>6742.4393790237527</v>
      </c>
    </row>
    <row r="486" spans="1:5" x14ac:dyDescent="0.2">
      <c r="A486" s="1" t="s">
        <v>32</v>
      </c>
      <c r="B486" s="1">
        <v>82</v>
      </c>
      <c r="C486" s="1" t="str">
        <f t="shared" si="7"/>
        <v>שירותי ניהול ותמיכה למשרדים ולעסקים</v>
      </c>
      <c r="D486" s="1">
        <v>130</v>
      </c>
      <c r="E486" s="2">
        <v>5331.4104392829377</v>
      </c>
    </row>
    <row r="487" spans="1:5" x14ac:dyDescent="0.2">
      <c r="A487" s="1" t="s">
        <v>32</v>
      </c>
      <c r="B487" s="1">
        <v>83</v>
      </c>
      <c r="C487" s="1" t="str">
        <f t="shared" si="7"/>
        <v>מינהל מקומי</v>
      </c>
      <c r="D487" s="1">
        <v>452</v>
      </c>
      <c r="E487" s="2">
        <v>9480.0796028393943</v>
      </c>
    </row>
    <row r="488" spans="1:5" x14ac:dyDescent="0.2">
      <c r="A488" s="1" t="s">
        <v>32</v>
      </c>
      <c r="B488" s="1">
        <v>84</v>
      </c>
      <c r="C488" s="1" t="str">
        <f t="shared" si="7"/>
        <v>מינהל ציבורי וביטחון; ביטוח לאומי חובה</v>
      </c>
      <c r="D488" s="1">
        <v>226</v>
      </c>
      <c r="E488" s="2">
        <v>16167.983333333324</v>
      </c>
    </row>
    <row r="489" spans="1:5" x14ac:dyDescent="0.2">
      <c r="A489" s="1" t="s">
        <v>32</v>
      </c>
      <c r="B489" s="1">
        <v>85</v>
      </c>
      <c r="C489" s="1" t="str">
        <f t="shared" si="7"/>
        <v>חינוך</v>
      </c>
      <c r="D489" s="1">
        <v>863</v>
      </c>
      <c r="E489" s="2">
        <v>10470.028847948121</v>
      </c>
    </row>
    <row r="490" spans="1:5" x14ac:dyDescent="0.2">
      <c r="A490" s="1" t="s">
        <v>32</v>
      </c>
      <c r="B490" s="1">
        <v>86</v>
      </c>
      <c r="C490" s="1" t="str">
        <f t="shared" si="7"/>
        <v>שירותי בריאות</v>
      </c>
      <c r="D490" s="1">
        <v>213</v>
      </c>
      <c r="E490" s="2">
        <v>11949.449178403749</v>
      </c>
    </row>
    <row r="491" spans="1:5" x14ac:dyDescent="0.2">
      <c r="A491" s="1" t="s">
        <v>32</v>
      </c>
      <c r="B491" s="1">
        <v>87</v>
      </c>
      <c r="C491" s="1" t="str">
        <f t="shared" si="7"/>
        <v>מגורים טיפוליים</v>
      </c>
      <c r="D491" s="1">
        <v>36</v>
      </c>
      <c r="E491" s="2">
        <v>11691.619666907167</v>
      </c>
    </row>
    <row r="492" spans="1:5" x14ac:dyDescent="0.2">
      <c r="A492" s="1" t="s">
        <v>32</v>
      </c>
      <c r="B492" s="1">
        <v>88</v>
      </c>
      <c r="C492" s="1" t="str">
        <f t="shared" si="7"/>
        <v>שירותי רווחה וסעד ללא מגורים</v>
      </c>
      <c r="D492" s="1">
        <v>276</v>
      </c>
      <c r="E492" s="2">
        <v>4454.1085956615852</v>
      </c>
    </row>
    <row r="493" spans="1:5" x14ac:dyDescent="0.2">
      <c r="A493" s="1" t="s">
        <v>32</v>
      </c>
      <c r="B493" s="1">
        <v>90</v>
      </c>
      <c r="C493" s="1" t="str">
        <f t="shared" si="7"/>
        <v>יצירה, אמנות ובידור</v>
      </c>
      <c r="D493" s="1">
        <v>12</v>
      </c>
      <c r="E493" s="2">
        <v>4926.3</v>
      </c>
    </row>
    <row r="494" spans="1:5" x14ac:dyDescent="0.2">
      <c r="A494" s="1" t="s">
        <v>32</v>
      </c>
      <c r="B494" s="1">
        <v>91</v>
      </c>
      <c r="C494" s="1" t="str">
        <f t="shared" si="7"/>
        <v>הפעלת ספריות, ארכיונים, מוזאונים ופעילויות תרבות אחרות</v>
      </c>
      <c r="D494" s="1">
        <v>21</v>
      </c>
      <c r="E494" s="2">
        <v>12370.067120181408</v>
      </c>
    </row>
    <row r="495" spans="1:5" x14ac:dyDescent="0.2">
      <c r="A495" s="1" t="s">
        <v>32</v>
      </c>
      <c r="B495" s="1">
        <v>93</v>
      </c>
      <c r="C495" s="1" t="str">
        <f t="shared" si="7"/>
        <v>פעילויות ספורט, בילוי ופנאי</v>
      </c>
      <c r="D495" s="1">
        <v>83</v>
      </c>
      <c r="E495" s="2">
        <v>5546.2954241207262</v>
      </c>
    </row>
    <row r="496" spans="1:5" x14ac:dyDescent="0.2">
      <c r="A496" s="1" t="s">
        <v>32</v>
      </c>
      <c r="B496" s="1">
        <v>94</v>
      </c>
      <c r="C496" s="1" t="str">
        <f t="shared" si="7"/>
        <v>פעילויות של ארגוני חברים</v>
      </c>
      <c r="D496" s="1">
        <v>158</v>
      </c>
      <c r="E496" s="2">
        <v>7762.1780296180614</v>
      </c>
    </row>
    <row r="497" spans="1:5" x14ac:dyDescent="0.2">
      <c r="A497" s="1" t="s">
        <v>32</v>
      </c>
      <c r="B497" s="1">
        <v>96</v>
      </c>
      <c r="C497" s="1" t="str">
        <f t="shared" si="7"/>
        <v>שירותים אישיים אחרים</v>
      </c>
      <c r="D497" s="1">
        <v>29</v>
      </c>
      <c r="E497" s="2">
        <v>5432.3288699805935</v>
      </c>
    </row>
    <row r="498" spans="1:5" x14ac:dyDescent="0.2">
      <c r="A498" s="1" t="s">
        <v>33</v>
      </c>
      <c r="B498" s="1">
        <v>1</v>
      </c>
      <c r="C498" s="1" t="str">
        <f t="shared" si="7"/>
        <v>גידולים צמחיים</v>
      </c>
      <c r="D498" s="1">
        <v>84</v>
      </c>
      <c r="E498" s="2">
        <v>6796.6714247062464</v>
      </c>
    </row>
    <row r="499" spans="1:5" x14ac:dyDescent="0.2">
      <c r="A499" s="1" t="s">
        <v>33</v>
      </c>
      <c r="B499" s="1">
        <v>3</v>
      </c>
      <c r="C499" s="1" t="str">
        <f t="shared" si="7"/>
        <v>דיג וחקלאות מים</v>
      </c>
      <c r="D499" s="1">
        <v>19</v>
      </c>
      <c r="E499" s="2">
        <v>8293.8170483025751</v>
      </c>
    </row>
    <row r="500" spans="1:5" x14ac:dyDescent="0.2">
      <c r="A500" s="1" t="s">
        <v>33</v>
      </c>
      <c r="B500" s="1">
        <v>10</v>
      </c>
      <c r="C500" s="1" t="str">
        <f t="shared" si="7"/>
        <v>ייצור מוצרי מזון</v>
      </c>
      <c r="D500" s="1">
        <v>22</v>
      </c>
      <c r="E500" s="2">
        <v>11580.145454545458</v>
      </c>
    </row>
    <row r="501" spans="1:5" x14ac:dyDescent="0.2">
      <c r="A501" s="1" t="s">
        <v>33</v>
      </c>
      <c r="B501" s="1">
        <v>13</v>
      </c>
      <c r="C501" s="1" t="str">
        <f t="shared" si="7"/>
        <v>ייצור טקסטיל</v>
      </c>
      <c r="D501" s="1">
        <v>14</v>
      </c>
      <c r="E501" s="2">
        <v>8537.4957482993213</v>
      </c>
    </row>
    <row r="502" spans="1:5" x14ac:dyDescent="0.2">
      <c r="A502" s="1" t="s">
        <v>33</v>
      </c>
      <c r="B502" s="1">
        <v>16</v>
      </c>
      <c r="C502" s="1" t="str">
        <f t="shared" si="7"/>
        <v>ייצור מוצרי עץ ומוצרי עץ ושעם, פרט לרהיטים; ייצור מוצרי קש ומוצרים מחומרי קליעה</v>
      </c>
      <c r="D502" s="1">
        <v>24</v>
      </c>
      <c r="E502" s="2">
        <v>11870.100631313131</v>
      </c>
    </row>
    <row r="503" spans="1:5" x14ac:dyDescent="0.2">
      <c r="A503" s="1" t="s">
        <v>33</v>
      </c>
      <c r="B503" s="1">
        <v>20</v>
      </c>
      <c r="C503" s="1" t="str">
        <f t="shared" si="7"/>
        <v>ייצור כימיקלים ומוצריהם</v>
      </c>
      <c r="D503" s="1">
        <v>26</v>
      </c>
      <c r="E503" s="2">
        <v>10293.425427350428</v>
      </c>
    </row>
    <row r="504" spans="1:5" x14ac:dyDescent="0.2">
      <c r="A504" s="1" t="s">
        <v>33</v>
      </c>
      <c r="B504" s="1">
        <v>22</v>
      </c>
      <c r="C504" s="1" t="str">
        <f t="shared" si="7"/>
        <v xml:space="preserve">ייצור מוצרי גומי ופלסטיק </v>
      </c>
      <c r="D504" s="1">
        <v>136</v>
      </c>
      <c r="E504" s="2">
        <v>9153.9301229203793</v>
      </c>
    </row>
    <row r="505" spans="1:5" x14ac:dyDescent="0.2">
      <c r="A505" s="1" t="s">
        <v>33</v>
      </c>
      <c r="B505" s="1">
        <v>33</v>
      </c>
      <c r="C505" s="1" t="str">
        <f t="shared" si="7"/>
        <v>תיקון, תחזוקה והתקנה של מכונות וציוד</v>
      </c>
      <c r="D505" s="1">
        <v>13</v>
      </c>
      <c r="E505" s="2">
        <v>9342.5396270396286</v>
      </c>
    </row>
    <row r="506" spans="1:5" x14ac:dyDescent="0.2">
      <c r="A506" s="1" t="s">
        <v>33</v>
      </c>
      <c r="B506" s="1">
        <v>41</v>
      </c>
      <c r="C506" s="1" t="str">
        <f t="shared" si="7"/>
        <v>בניית מבנים ובניינים</v>
      </c>
      <c r="D506" s="1">
        <v>27</v>
      </c>
      <c r="E506" s="2">
        <v>7074.497119341564</v>
      </c>
    </row>
    <row r="507" spans="1:5" x14ac:dyDescent="0.2">
      <c r="A507" s="1" t="s">
        <v>33</v>
      </c>
      <c r="B507" s="1">
        <v>42</v>
      </c>
      <c r="C507" s="1" t="str">
        <f t="shared" si="7"/>
        <v xml:space="preserve">עבודות הנדסה אזרחית </v>
      </c>
      <c r="D507" s="1">
        <v>21</v>
      </c>
      <c r="E507" s="2">
        <v>8284.487433862434</v>
      </c>
    </row>
    <row r="508" spans="1:5" x14ac:dyDescent="0.2">
      <c r="A508" s="1" t="s">
        <v>33</v>
      </c>
      <c r="B508" s="1">
        <v>43</v>
      </c>
      <c r="C508" s="1" t="str">
        <f t="shared" si="7"/>
        <v xml:space="preserve">עבודות בנייה מיוחדות </v>
      </c>
      <c r="D508" s="1">
        <v>29</v>
      </c>
      <c r="E508" s="2">
        <v>8131.1810344827572</v>
      </c>
    </row>
    <row r="509" spans="1:5" x14ac:dyDescent="0.2">
      <c r="A509" s="1" t="s">
        <v>33</v>
      </c>
      <c r="B509" s="1">
        <v>46</v>
      </c>
      <c r="C509" s="1" t="str">
        <f t="shared" si="7"/>
        <v>מסחר סיטוני, פרט לכלי רכב מנועיים ולאופנועים</v>
      </c>
      <c r="D509" s="1">
        <v>23</v>
      </c>
      <c r="E509" s="2">
        <v>5855.990865173474</v>
      </c>
    </row>
    <row r="510" spans="1:5" x14ac:dyDescent="0.2">
      <c r="A510" s="1" t="s">
        <v>33</v>
      </c>
      <c r="B510" s="1">
        <v>47</v>
      </c>
      <c r="C510" s="1" t="str">
        <f t="shared" si="7"/>
        <v>מכירה קמעונית, פרט לכלי רכב מנועיים ולאופנועים</v>
      </c>
      <c r="D510" s="1">
        <v>93</v>
      </c>
      <c r="E510" s="2">
        <v>5520.9910188676331</v>
      </c>
    </row>
    <row r="511" spans="1:5" x14ac:dyDescent="0.2">
      <c r="A511" s="1" t="s">
        <v>33</v>
      </c>
      <c r="B511" s="1">
        <v>49</v>
      </c>
      <c r="C511" s="1" t="str">
        <f t="shared" si="7"/>
        <v>הובלה יבשתית והובלה באמצעות קווי צינורות</v>
      </c>
      <c r="D511" s="1">
        <v>57</v>
      </c>
      <c r="E511" s="2">
        <v>7900.238917369179</v>
      </c>
    </row>
    <row r="512" spans="1:5" x14ac:dyDescent="0.2">
      <c r="A512" s="1" t="s">
        <v>33</v>
      </c>
      <c r="B512" s="1">
        <v>55</v>
      </c>
      <c r="C512" s="1" t="str">
        <f t="shared" si="7"/>
        <v>שירותי אירוח</v>
      </c>
      <c r="D512" s="1">
        <v>91</v>
      </c>
      <c r="E512" s="2">
        <v>6762.93049252335</v>
      </c>
    </row>
    <row r="513" spans="1:5" x14ac:dyDescent="0.2">
      <c r="A513" s="1" t="s">
        <v>33</v>
      </c>
      <c r="B513" s="1">
        <v>56</v>
      </c>
      <c r="C513" s="1" t="str">
        <f t="shared" si="7"/>
        <v xml:space="preserve">שירותי מזון ומשקאות </v>
      </c>
      <c r="D513" s="1">
        <v>62</v>
      </c>
      <c r="E513" s="2">
        <v>6673.9742418423875</v>
      </c>
    </row>
    <row r="514" spans="1:5" x14ac:dyDescent="0.2">
      <c r="A514" s="1" t="s">
        <v>33</v>
      </c>
      <c r="B514" s="1">
        <v>69</v>
      </c>
      <c r="C514" s="1" t="str">
        <f t="shared" si="7"/>
        <v>שירותים משפטיים ושירותי חשבונאות</v>
      </c>
      <c r="D514" s="1">
        <v>12</v>
      </c>
      <c r="E514" s="2">
        <v>6092.6488095238092</v>
      </c>
    </row>
    <row r="515" spans="1:5" x14ac:dyDescent="0.2">
      <c r="A515" s="1" t="s">
        <v>33</v>
      </c>
      <c r="B515" s="1">
        <v>71</v>
      </c>
      <c r="C515" s="1" t="str">
        <f t="shared" ref="C515:C578" si="8">INDEX(L:L,MATCH(B515,K:K,0))</f>
        <v>שירותי אדריכלות והנדסה; בדיקות טכניות וניתוח נתונים טכניים</v>
      </c>
      <c r="D515" s="1">
        <v>12</v>
      </c>
      <c r="E515" s="2">
        <v>14475.766666666668</v>
      </c>
    </row>
    <row r="516" spans="1:5" x14ac:dyDescent="0.2">
      <c r="A516" s="1" t="s">
        <v>33</v>
      </c>
      <c r="B516" s="1">
        <v>78</v>
      </c>
      <c r="C516" s="1" t="str">
        <f t="shared" si="8"/>
        <v>שירותי תעסוקה</v>
      </c>
      <c r="D516" s="1">
        <v>44</v>
      </c>
      <c r="E516" s="2">
        <v>4531.5031319690406</v>
      </c>
    </row>
    <row r="517" spans="1:5" x14ac:dyDescent="0.2">
      <c r="A517" s="1" t="s">
        <v>33</v>
      </c>
      <c r="B517" s="1">
        <v>81</v>
      </c>
      <c r="C517" s="1" t="str">
        <f t="shared" si="8"/>
        <v>שירותי תחזוקה לבניינים ועבודות גינון</v>
      </c>
      <c r="D517" s="1">
        <v>161</v>
      </c>
      <c r="E517" s="2">
        <v>5258.8801107794898</v>
      </c>
    </row>
    <row r="518" spans="1:5" x14ac:dyDescent="0.2">
      <c r="A518" s="1" t="s">
        <v>33</v>
      </c>
      <c r="B518" s="1">
        <v>83</v>
      </c>
      <c r="C518" s="1" t="str">
        <f t="shared" si="8"/>
        <v>מינהל מקומי</v>
      </c>
      <c r="D518" s="1">
        <v>55</v>
      </c>
      <c r="E518" s="2">
        <v>12427.304035812673</v>
      </c>
    </row>
    <row r="519" spans="1:5" x14ac:dyDescent="0.2">
      <c r="A519" s="1" t="s">
        <v>33</v>
      </c>
      <c r="B519" s="1">
        <v>84</v>
      </c>
      <c r="C519" s="1" t="str">
        <f t="shared" si="8"/>
        <v>מינהל ציבורי וביטחון; ביטוח לאומי חובה</v>
      </c>
      <c r="D519" s="1">
        <v>14</v>
      </c>
      <c r="E519" s="2">
        <v>23956.66411564625</v>
      </c>
    </row>
    <row r="520" spans="1:5" x14ac:dyDescent="0.2">
      <c r="A520" s="1" t="s">
        <v>33</v>
      </c>
      <c r="B520" s="1">
        <v>85</v>
      </c>
      <c r="C520" s="1" t="str">
        <f t="shared" si="8"/>
        <v>חינוך</v>
      </c>
      <c r="D520" s="1">
        <v>114</v>
      </c>
      <c r="E520" s="2">
        <v>13214.993088149668</v>
      </c>
    </row>
    <row r="521" spans="1:5" x14ac:dyDescent="0.2">
      <c r="A521" s="1" t="s">
        <v>33</v>
      </c>
      <c r="B521" s="1">
        <v>86</v>
      </c>
      <c r="C521" s="1" t="str">
        <f t="shared" si="8"/>
        <v>שירותי בריאות</v>
      </c>
      <c r="D521" s="1">
        <v>33</v>
      </c>
      <c r="E521" s="2">
        <v>22074.266426166429</v>
      </c>
    </row>
    <row r="522" spans="1:5" x14ac:dyDescent="0.2">
      <c r="A522" s="1" t="s">
        <v>33</v>
      </c>
      <c r="B522" s="1">
        <v>88</v>
      </c>
      <c r="C522" s="1" t="str">
        <f t="shared" si="8"/>
        <v>שירותי רווחה וסעד ללא מגורים</v>
      </c>
      <c r="D522" s="1">
        <v>44</v>
      </c>
      <c r="E522" s="2">
        <v>3626.6052890922206</v>
      </c>
    </row>
    <row r="523" spans="1:5" x14ac:dyDescent="0.2">
      <c r="A523" s="1" t="s">
        <v>33</v>
      </c>
      <c r="B523" s="1">
        <v>91</v>
      </c>
      <c r="C523" s="1" t="str">
        <f t="shared" si="8"/>
        <v>הפעלת ספריות, ארכיונים, מוזאונים ופעילויות תרבות אחרות</v>
      </c>
      <c r="D523" s="1">
        <v>20</v>
      </c>
      <c r="E523" s="2">
        <v>11310.906287878786</v>
      </c>
    </row>
    <row r="524" spans="1:5" x14ac:dyDescent="0.2">
      <c r="A524" s="1" t="s">
        <v>34</v>
      </c>
      <c r="B524" s="1">
        <v>1</v>
      </c>
      <c r="C524" s="1" t="str">
        <f t="shared" si="8"/>
        <v>גידולים צמחיים</v>
      </c>
      <c r="D524" s="1">
        <v>137</v>
      </c>
      <c r="E524" s="2">
        <v>5964.125875280437</v>
      </c>
    </row>
    <row r="525" spans="1:5" x14ac:dyDescent="0.2">
      <c r="A525" s="1" t="s">
        <v>34</v>
      </c>
      <c r="B525" s="1">
        <v>10</v>
      </c>
      <c r="C525" s="1" t="str">
        <f t="shared" si="8"/>
        <v>ייצור מוצרי מזון</v>
      </c>
      <c r="D525" s="1">
        <v>13</v>
      </c>
      <c r="E525" s="2">
        <v>7540.7733100233108</v>
      </c>
    </row>
    <row r="526" spans="1:5" x14ac:dyDescent="0.2">
      <c r="A526" s="1" t="s">
        <v>34</v>
      </c>
      <c r="B526" s="1">
        <v>11</v>
      </c>
      <c r="C526" s="1" t="str">
        <f t="shared" si="8"/>
        <v>ייצור משקאות</v>
      </c>
      <c r="D526" s="1">
        <v>13</v>
      </c>
      <c r="E526" s="2">
        <v>13674.997130647129</v>
      </c>
    </row>
    <row r="527" spans="1:5" x14ac:dyDescent="0.2">
      <c r="A527" s="1" t="s">
        <v>34</v>
      </c>
      <c r="B527" s="1">
        <v>20</v>
      </c>
      <c r="C527" s="1" t="str">
        <f t="shared" si="8"/>
        <v>ייצור כימיקלים ומוצריהם</v>
      </c>
      <c r="D527" s="1">
        <v>14</v>
      </c>
      <c r="E527" s="2">
        <v>10468.161525974025</v>
      </c>
    </row>
    <row r="528" spans="1:5" x14ac:dyDescent="0.2">
      <c r="A528" s="1" t="s">
        <v>34</v>
      </c>
      <c r="B528" s="1">
        <v>22</v>
      </c>
      <c r="C528" s="1" t="str">
        <f t="shared" si="8"/>
        <v xml:space="preserve">ייצור מוצרי גומי ופלסטיק </v>
      </c>
      <c r="D528" s="1">
        <v>31</v>
      </c>
      <c r="E528" s="2">
        <v>10064.386154168413</v>
      </c>
    </row>
    <row r="529" spans="1:5" x14ac:dyDescent="0.2">
      <c r="A529" s="1" t="s">
        <v>34</v>
      </c>
      <c r="B529" s="1">
        <v>27</v>
      </c>
      <c r="C529" s="1" t="str">
        <f t="shared" si="8"/>
        <v>ייצור ציוד חשמלי</v>
      </c>
      <c r="D529" s="1">
        <v>13</v>
      </c>
      <c r="E529" s="2">
        <v>11014.596153846154</v>
      </c>
    </row>
    <row r="530" spans="1:5" x14ac:dyDescent="0.2">
      <c r="A530" s="1" t="s">
        <v>34</v>
      </c>
      <c r="B530" s="1">
        <v>41</v>
      </c>
      <c r="C530" s="1" t="str">
        <f t="shared" si="8"/>
        <v>בניית מבנים ובניינים</v>
      </c>
      <c r="D530" s="1">
        <v>56</v>
      </c>
      <c r="E530" s="2">
        <v>5473.7456155947229</v>
      </c>
    </row>
    <row r="531" spans="1:5" x14ac:dyDescent="0.2">
      <c r="A531" s="1" t="s">
        <v>34</v>
      </c>
      <c r="B531" s="1">
        <v>42</v>
      </c>
      <c r="C531" s="1" t="str">
        <f t="shared" si="8"/>
        <v xml:space="preserve">עבודות הנדסה אזרחית </v>
      </c>
      <c r="D531" s="1">
        <v>11</v>
      </c>
      <c r="E531" s="2">
        <v>9219.8585858585866</v>
      </c>
    </row>
    <row r="532" spans="1:5" x14ac:dyDescent="0.2">
      <c r="A532" s="1" t="s">
        <v>34</v>
      </c>
      <c r="B532" s="1">
        <v>43</v>
      </c>
      <c r="C532" s="1" t="str">
        <f t="shared" si="8"/>
        <v xml:space="preserve">עבודות בנייה מיוחדות </v>
      </c>
      <c r="D532" s="1">
        <v>78</v>
      </c>
      <c r="E532" s="2">
        <v>4968.9155811780811</v>
      </c>
    </row>
    <row r="533" spans="1:5" x14ac:dyDescent="0.2">
      <c r="A533" s="1" t="s">
        <v>34</v>
      </c>
      <c r="B533" s="1">
        <v>45</v>
      </c>
      <c r="C533" s="1" t="str">
        <f t="shared" si="8"/>
        <v>מסחר סיטוני וקמעוני בכלי רכב מנועיים ובאופנועים ותיקונם</v>
      </c>
      <c r="D533" s="1">
        <v>10</v>
      </c>
      <c r="E533" s="2">
        <v>7461.6749999999984</v>
      </c>
    </row>
    <row r="534" spans="1:5" x14ac:dyDescent="0.2">
      <c r="A534" s="1" t="s">
        <v>34</v>
      </c>
      <c r="B534" s="1">
        <v>47</v>
      </c>
      <c r="C534" s="1" t="str">
        <f t="shared" si="8"/>
        <v>מכירה קמעונית, פרט לכלי רכב מנועיים ולאופנועים</v>
      </c>
      <c r="D534" s="1">
        <v>70</v>
      </c>
      <c r="E534" s="2">
        <v>4994.6964744382585</v>
      </c>
    </row>
    <row r="535" spans="1:5" x14ac:dyDescent="0.2">
      <c r="A535" s="1" t="s">
        <v>34</v>
      </c>
      <c r="B535" s="1">
        <v>49</v>
      </c>
      <c r="C535" s="1" t="str">
        <f t="shared" si="8"/>
        <v>הובלה יבשתית והובלה באמצעות קווי צינורות</v>
      </c>
      <c r="D535" s="1">
        <v>51</v>
      </c>
      <c r="E535" s="2">
        <v>6750.961055937526</v>
      </c>
    </row>
    <row r="536" spans="1:5" x14ac:dyDescent="0.2">
      <c r="A536" s="1" t="s">
        <v>34</v>
      </c>
      <c r="B536" s="1">
        <v>52</v>
      </c>
      <c r="C536" s="1" t="str">
        <f t="shared" si="8"/>
        <v>אחסנה ושירותי עזר לתחבורה</v>
      </c>
      <c r="D536" s="1">
        <v>12</v>
      </c>
      <c r="E536" s="2">
        <v>10046.871148989901</v>
      </c>
    </row>
    <row r="537" spans="1:5" x14ac:dyDescent="0.2">
      <c r="A537" s="1" t="s">
        <v>34</v>
      </c>
      <c r="B537" s="1">
        <v>55</v>
      </c>
      <c r="C537" s="1" t="str">
        <f t="shared" si="8"/>
        <v>שירותי אירוח</v>
      </c>
      <c r="D537" s="1">
        <v>35</v>
      </c>
      <c r="E537" s="2">
        <v>7710.2585322613895</v>
      </c>
    </row>
    <row r="538" spans="1:5" x14ac:dyDescent="0.2">
      <c r="A538" s="1" t="s">
        <v>34</v>
      </c>
      <c r="B538" s="1">
        <v>56</v>
      </c>
      <c r="C538" s="1" t="str">
        <f t="shared" si="8"/>
        <v xml:space="preserve">שירותי מזון ומשקאות </v>
      </c>
      <c r="D538" s="1">
        <v>29</v>
      </c>
      <c r="E538" s="2">
        <v>4334.9898094242926</v>
      </c>
    </row>
    <row r="539" spans="1:5" x14ac:dyDescent="0.2">
      <c r="A539" s="1" t="s">
        <v>34</v>
      </c>
      <c r="B539" s="1">
        <v>64</v>
      </c>
      <c r="C539" s="1" t="str">
        <f t="shared" si="8"/>
        <v>שירותים פיננסיים, פרט לביטוח ולקרנות פנסיה</v>
      </c>
      <c r="D539" s="1">
        <v>14</v>
      </c>
      <c r="E539" s="2">
        <v>7188.8719078540516</v>
      </c>
    </row>
    <row r="540" spans="1:5" x14ac:dyDescent="0.2">
      <c r="A540" s="1" t="s">
        <v>34</v>
      </c>
      <c r="B540" s="1">
        <v>69</v>
      </c>
      <c r="C540" s="1" t="str">
        <f t="shared" si="8"/>
        <v>שירותים משפטיים ושירותי חשבונאות</v>
      </c>
      <c r="D540" s="1">
        <v>10</v>
      </c>
      <c r="E540" s="2">
        <v>5355.0989682539685</v>
      </c>
    </row>
    <row r="541" spans="1:5" x14ac:dyDescent="0.2">
      <c r="A541" s="1" t="s">
        <v>34</v>
      </c>
      <c r="B541" s="1">
        <v>71</v>
      </c>
      <c r="C541" s="1" t="str">
        <f t="shared" si="8"/>
        <v>שירותי אדריכלות והנדסה; בדיקות טכניות וניתוח נתונים טכניים</v>
      </c>
      <c r="D541" s="1">
        <v>25</v>
      </c>
      <c r="E541" s="2">
        <v>10132.804787878787</v>
      </c>
    </row>
    <row r="542" spans="1:5" x14ac:dyDescent="0.2">
      <c r="A542" s="1" t="s">
        <v>34</v>
      </c>
      <c r="B542" s="1">
        <v>78</v>
      </c>
      <c r="C542" s="1" t="str">
        <f t="shared" si="8"/>
        <v>שירותי תעסוקה</v>
      </c>
      <c r="D542" s="1">
        <v>27</v>
      </c>
      <c r="E542" s="2">
        <v>6097.1738536155208</v>
      </c>
    </row>
    <row r="543" spans="1:5" x14ac:dyDescent="0.2">
      <c r="A543" s="1" t="s">
        <v>34</v>
      </c>
      <c r="B543" s="1">
        <v>81</v>
      </c>
      <c r="C543" s="1" t="str">
        <f t="shared" si="8"/>
        <v>שירותי תחזוקה לבניינים ועבודות גינון</v>
      </c>
      <c r="D543" s="1">
        <v>11</v>
      </c>
      <c r="E543" s="2">
        <v>6234.8878787878784</v>
      </c>
    </row>
    <row r="544" spans="1:5" x14ac:dyDescent="0.2">
      <c r="A544" s="1" t="s">
        <v>34</v>
      </c>
      <c r="B544" s="1">
        <v>83</v>
      </c>
      <c r="C544" s="1" t="str">
        <f t="shared" si="8"/>
        <v>מינהל מקומי</v>
      </c>
      <c r="D544" s="1">
        <v>44</v>
      </c>
      <c r="E544" s="2">
        <v>9783.648617670211</v>
      </c>
    </row>
    <row r="545" spans="1:5" x14ac:dyDescent="0.2">
      <c r="A545" s="1" t="s">
        <v>34</v>
      </c>
      <c r="B545" s="1">
        <v>84</v>
      </c>
      <c r="C545" s="1" t="str">
        <f t="shared" si="8"/>
        <v>מינהל ציבורי וביטחון; ביטוח לאומי חובה</v>
      </c>
      <c r="D545" s="1">
        <v>13</v>
      </c>
      <c r="E545" s="2">
        <v>23718.373076923075</v>
      </c>
    </row>
    <row r="546" spans="1:5" x14ac:dyDescent="0.2">
      <c r="A546" s="1" t="s">
        <v>34</v>
      </c>
      <c r="B546" s="1">
        <v>85</v>
      </c>
      <c r="C546" s="1" t="str">
        <f t="shared" si="8"/>
        <v>חינוך</v>
      </c>
      <c r="D546" s="1">
        <v>70</v>
      </c>
      <c r="E546" s="2">
        <v>11681.76281849103</v>
      </c>
    </row>
    <row r="547" spans="1:5" x14ac:dyDescent="0.2">
      <c r="A547" s="1" t="s">
        <v>34</v>
      </c>
      <c r="B547" s="1">
        <v>86</v>
      </c>
      <c r="C547" s="1" t="str">
        <f t="shared" si="8"/>
        <v>שירותי בריאות</v>
      </c>
      <c r="D547" s="1">
        <v>48</v>
      </c>
      <c r="E547" s="2">
        <v>13097.087847222225</v>
      </c>
    </row>
    <row r="548" spans="1:5" x14ac:dyDescent="0.2">
      <c r="A548" s="1" t="s">
        <v>34</v>
      </c>
      <c r="B548" s="1">
        <v>88</v>
      </c>
      <c r="C548" s="1" t="str">
        <f t="shared" si="8"/>
        <v>שירותי רווחה וסעד ללא מגורים</v>
      </c>
      <c r="D548" s="1">
        <v>69</v>
      </c>
      <c r="E548" s="2">
        <v>2657.7486223518845</v>
      </c>
    </row>
    <row r="549" spans="1:5" x14ac:dyDescent="0.2">
      <c r="A549" s="1" t="s">
        <v>34</v>
      </c>
      <c r="B549" s="1">
        <v>91</v>
      </c>
      <c r="C549" s="1" t="str">
        <f t="shared" si="8"/>
        <v>הפעלת ספריות, ארכיונים, מוזאונים ופעילויות תרבות אחרות</v>
      </c>
      <c r="D549" s="1">
        <v>38</v>
      </c>
      <c r="E549" s="2">
        <v>12583.409795321642</v>
      </c>
    </row>
    <row r="550" spans="1:5" x14ac:dyDescent="0.2">
      <c r="A550" s="1" t="s">
        <v>34</v>
      </c>
      <c r="B550" s="1">
        <v>93</v>
      </c>
      <c r="C550" s="1" t="str">
        <f t="shared" si="8"/>
        <v>פעילויות ספורט, בילוי ופנאי</v>
      </c>
      <c r="D550" s="1">
        <v>24</v>
      </c>
      <c r="E550" s="2">
        <v>5658.879274891774</v>
      </c>
    </row>
    <row r="551" spans="1:5" x14ac:dyDescent="0.2">
      <c r="A551" s="1" t="s">
        <v>35</v>
      </c>
      <c r="B551" s="1">
        <v>1</v>
      </c>
      <c r="C551" s="1" t="str">
        <f t="shared" si="8"/>
        <v>גידולים צמחיים</v>
      </c>
      <c r="D551" s="1">
        <v>78</v>
      </c>
      <c r="E551" s="2">
        <v>7665.1479377104361</v>
      </c>
    </row>
    <row r="552" spans="1:5" x14ac:dyDescent="0.2">
      <c r="A552" s="1" t="s">
        <v>35</v>
      </c>
      <c r="B552" s="1">
        <v>2</v>
      </c>
      <c r="C552" s="1" t="str">
        <f t="shared" si="8"/>
        <v>ייעור וכריתת עצים</v>
      </c>
      <c r="D552" s="1">
        <v>15</v>
      </c>
      <c r="E552" s="2">
        <v>20476.305555555558</v>
      </c>
    </row>
    <row r="553" spans="1:5" x14ac:dyDescent="0.2">
      <c r="A553" s="1" t="s">
        <v>35</v>
      </c>
      <c r="B553" s="1">
        <v>4</v>
      </c>
      <c r="C553" s="1" t="str">
        <f t="shared" si="8"/>
        <v>גידול בעלי חיים, ציד ופעילויות נלוות</v>
      </c>
      <c r="D553" s="1">
        <v>23</v>
      </c>
      <c r="E553" s="2">
        <v>8597.7324330259107</v>
      </c>
    </row>
    <row r="554" spans="1:5" x14ac:dyDescent="0.2">
      <c r="A554" s="1" t="s">
        <v>35</v>
      </c>
      <c r="B554" s="1">
        <v>10</v>
      </c>
      <c r="C554" s="1" t="str">
        <f t="shared" si="8"/>
        <v>ייצור מוצרי מזון</v>
      </c>
      <c r="D554" s="1">
        <v>440</v>
      </c>
      <c r="E554" s="2">
        <v>9440.1945827594118</v>
      </c>
    </row>
    <row r="555" spans="1:5" x14ac:dyDescent="0.2">
      <c r="A555" s="1" t="s">
        <v>35</v>
      </c>
      <c r="B555" s="1">
        <v>11</v>
      </c>
      <c r="C555" s="1" t="str">
        <f t="shared" si="8"/>
        <v>ייצור משקאות</v>
      </c>
      <c r="D555" s="1">
        <v>53</v>
      </c>
      <c r="E555" s="2">
        <v>8448.5173092107088</v>
      </c>
    </row>
    <row r="556" spans="1:5" x14ac:dyDescent="0.2">
      <c r="A556" s="1" t="s">
        <v>35</v>
      </c>
      <c r="B556" s="1">
        <v>13</v>
      </c>
      <c r="C556" s="1" t="str">
        <f t="shared" si="8"/>
        <v>ייצור טקסטיל</v>
      </c>
      <c r="D556" s="1">
        <v>29</v>
      </c>
      <c r="E556" s="2">
        <v>6162.1718739115277</v>
      </c>
    </row>
    <row r="557" spans="1:5" x14ac:dyDescent="0.2">
      <c r="A557" s="1" t="s">
        <v>35</v>
      </c>
      <c r="B557" s="1">
        <v>16</v>
      </c>
      <c r="C557" s="1" t="str">
        <f t="shared" si="8"/>
        <v>ייצור מוצרי עץ ומוצרי עץ ושעם, פרט לרהיטים; ייצור מוצרי קש ומוצרים מחומרי קליעה</v>
      </c>
      <c r="D557" s="1">
        <v>94</v>
      </c>
      <c r="E557" s="2">
        <v>8686.3525217985298</v>
      </c>
    </row>
    <row r="558" spans="1:5" x14ac:dyDescent="0.2">
      <c r="A558" s="1" t="s">
        <v>35</v>
      </c>
      <c r="B558" s="1">
        <v>18</v>
      </c>
      <c r="C558" s="1" t="str">
        <f t="shared" si="8"/>
        <v>הדפסה ושכפול של חומר תקשורתי מוקלט</v>
      </c>
      <c r="D558" s="1">
        <v>21</v>
      </c>
      <c r="E558" s="2">
        <v>7341.1387755102032</v>
      </c>
    </row>
    <row r="559" spans="1:5" x14ac:dyDescent="0.2">
      <c r="A559" s="1" t="s">
        <v>35</v>
      </c>
      <c r="B559" s="1">
        <v>20</v>
      </c>
      <c r="C559" s="1" t="str">
        <f t="shared" si="8"/>
        <v>ייצור כימיקלים ומוצריהם</v>
      </c>
      <c r="D559" s="1">
        <v>49</v>
      </c>
      <c r="E559" s="2">
        <v>7379.0216376593926</v>
      </c>
    </row>
    <row r="560" spans="1:5" x14ac:dyDescent="0.2">
      <c r="A560" s="1" t="s">
        <v>35</v>
      </c>
      <c r="B560" s="1">
        <v>22</v>
      </c>
      <c r="C560" s="1" t="str">
        <f t="shared" si="8"/>
        <v xml:space="preserve">ייצור מוצרי גומי ופלסטיק </v>
      </c>
      <c r="D560" s="1">
        <v>48</v>
      </c>
      <c r="E560" s="2">
        <v>9098.6263377825835</v>
      </c>
    </row>
    <row r="561" spans="1:5" x14ac:dyDescent="0.2">
      <c r="A561" s="1" t="s">
        <v>35</v>
      </c>
      <c r="B561" s="1">
        <v>23</v>
      </c>
      <c r="C561" s="1" t="str">
        <f t="shared" si="8"/>
        <v>ייצור מוצרים אחרים על בסיס מינרלים אל-מתכתיים</v>
      </c>
      <c r="D561" s="1">
        <v>71</v>
      </c>
      <c r="E561" s="2">
        <v>13232.76467745869</v>
      </c>
    </row>
    <row r="562" spans="1:5" x14ac:dyDescent="0.2">
      <c r="A562" s="1" t="s">
        <v>35</v>
      </c>
      <c r="B562" s="1">
        <v>26</v>
      </c>
      <c r="C562" s="1" t="str">
        <f t="shared" si="8"/>
        <v>ייצור מחשבים, מכשור אלקטרוני ואופטי</v>
      </c>
      <c r="D562" s="1">
        <v>41</v>
      </c>
      <c r="E562" s="2">
        <v>16449.850303558225</v>
      </c>
    </row>
    <row r="563" spans="1:5" x14ac:dyDescent="0.2">
      <c r="A563" s="1" t="s">
        <v>35</v>
      </c>
      <c r="B563" s="1">
        <v>27</v>
      </c>
      <c r="C563" s="1" t="str">
        <f t="shared" si="8"/>
        <v>ייצור ציוד חשמלי</v>
      </c>
      <c r="D563" s="1">
        <v>190</v>
      </c>
      <c r="E563" s="2">
        <v>8969.245157590949</v>
      </c>
    </row>
    <row r="564" spans="1:5" x14ac:dyDescent="0.2">
      <c r="A564" s="1" t="s">
        <v>35</v>
      </c>
      <c r="B564" s="1">
        <v>29</v>
      </c>
      <c r="C564" s="1" t="str">
        <f t="shared" si="8"/>
        <v xml:space="preserve">ייצור כלי רכב מנועיים ונגררים </v>
      </c>
      <c r="D564" s="1">
        <v>39</v>
      </c>
      <c r="E564" s="2">
        <v>11792.26047008547</v>
      </c>
    </row>
    <row r="565" spans="1:5" x14ac:dyDescent="0.2">
      <c r="A565" s="1" t="s">
        <v>35</v>
      </c>
      <c r="B565" s="1">
        <v>31</v>
      </c>
      <c r="C565" s="1" t="str">
        <f t="shared" si="8"/>
        <v>ייצור רהיטים</v>
      </c>
      <c r="D565" s="1">
        <v>34</v>
      </c>
      <c r="E565" s="2">
        <v>9067.081788472964</v>
      </c>
    </row>
    <row r="566" spans="1:5" x14ac:dyDescent="0.2">
      <c r="A566" s="1" t="s">
        <v>35</v>
      </c>
      <c r="B566" s="1">
        <v>32</v>
      </c>
      <c r="C566" s="1" t="str">
        <f t="shared" si="8"/>
        <v>ענפי ייצור אחרים</v>
      </c>
      <c r="D566" s="1">
        <v>40</v>
      </c>
      <c r="E566" s="2">
        <v>11180.051017316016</v>
      </c>
    </row>
    <row r="567" spans="1:5" x14ac:dyDescent="0.2">
      <c r="A567" s="1" t="s">
        <v>35</v>
      </c>
      <c r="B567" s="1">
        <v>35</v>
      </c>
      <c r="C567" s="1" t="str">
        <f t="shared" si="8"/>
        <v>אספקת חשמל, גז, קיטור ומיזוג אוויר (קירור)</v>
      </c>
      <c r="D567" s="1">
        <v>27</v>
      </c>
      <c r="E567" s="2">
        <v>24387.812169312165</v>
      </c>
    </row>
    <row r="568" spans="1:5" x14ac:dyDescent="0.2">
      <c r="A568" s="1" t="s">
        <v>35</v>
      </c>
      <c r="B568" s="1">
        <v>36</v>
      </c>
      <c r="C568" s="1" t="str">
        <f t="shared" si="8"/>
        <v>אגירת מים, טיפול ואספקה</v>
      </c>
      <c r="D568" s="1">
        <v>32</v>
      </c>
      <c r="E568" s="2">
        <v>23827.887500000001</v>
      </c>
    </row>
    <row r="569" spans="1:5" x14ac:dyDescent="0.2">
      <c r="A569" s="1" t="s">
        <v>35</v>
      </c>
      <c r="B569" s="1">
        <v>38</v>
      </c>
      <c r="C569" s="1" t="str">
        <f t="shared" si="8"/>
        <v>איסוף, טיפול וסילוק של אשפה ופסולת; מחזור (והשבה) של חומרים</v>
      </c>
      <c r="D569" s="1">
        <v>18</v>
      </c>
      <c r="E569" s="2">
        <v>7582.1541806958476</v>
      </c>
    </row>
    <row r="570" spans="1:5" x14ac:dyDescent="0.2">
      <c r="A570" s="1" t="s">
        <v>35</v>
      </c>
      <c r="B570" s="1">
        <v>41</v>
      </c>
      <c r="C570" s="1" t="str">
        <f t="shared" si="8"/>
        <v>בניית מבנים ובניינים</v>
      </c>
      <c r="D570" s="1">
        <v>177</v>
      </c>
      <c r="E570" s="2">
        <v>8194.8032940380417</v>
      </c>
    </row>
    <row r="571" spans="1:5" x14ac:dyDescent="0.2">
      <c r="A571" s="1" t="s">
        <v>35</v>
      </c>
      <c r="B571" s="1">
        <v>42</v>
      </c>
      <c r="C571" s="1" t="str">
        <f t="shared" si="8"/>
        <v xml:space="preserve">עבודות הנדסה אזרחית </v>
      </c>
      <c r="D571" s="1">
        <v>23</v>
      </c>
      <c r="E571" s="2">
        <v>10006.267259552043</v>
      </c>
    </row>
    <row r="572" spans="1:5" x14ac:dyDescent="0.2">
      <c r="A572" s="1" t="s">
        <v>35</v>
      </c>
      <c r="B572" s="1">
        <v>43</v>
      </c>
      <c r="C572" s="1" t="str">
        <f t="shared" si="8"/>
        <v xml:space="preserve">עבודות בנייה מיוחדות </v>
      </c>
      <c r="D572" s="1">
        <v>198</v>
      </c>
      <c r="E572" s="2">
        <v>7479.9714487953115</v>
      </c>
    </row>
    <row r="573" spans="1:5" x14ac:dyDescent="0.2">
      <c r="A573" s="1" t="s">
        <v>35</v>
      </c>
      <c r="B573" s="1">
        <v>45</v>
      </c>
      <c r="C573" s="1" t="str">
        <f t="shared" si="8"/>
        <v>מסחר סיטוני וקמעוני בכלי רכב מנועיים ובאופנועים ותיקונם</v>
      </c>
      <c r="D573" s="1">
        <v>66</v>
      </c>
      <c r="E573" s="2">
        <v>11176.066712580347</v>
      </c>
    </row>
    <row r="574" spans="1:5" x14ac:dyDescent="0.2">
      <c r="A574" s="1" t="s">
        <v>35</v>
      </c>
      <c r="B574" s="1">
        <v>46</v>
      </c>
      <c r="C574" s="1" t="str">
        <f t="shared" si="8"/>
        <v>מסחר סיטוני, פרט לכלי רכב מנועיים ולאופנועים</v>
      </c>
      <c r="D574" s="1">
        <v>298</v>
      </c>
      <c r="E574" s="2">
        <v>7835.1991995699973</v>
      </c>
    </row>
    <row r="575" spans="1:5" x14ac:dyDescent="0.2">
      <c r="A575" s="1" t="s">
        <v>35</v>
      </c>
      <c r="B575" s="1">
        <v>47</v>
      </c>
      <c r="C575" s="1" t="str">
        <f t="shared" si="8"/>
        <v>מכירה קמעונית, פרט לכלי רכב מנועיים ולאופנועים</v>
      </c>
      <c r="D575" s="1">
        <v>1231</v>
      </c>
      <c r="E575" s="2">
        <v>5482.2363506540451</v>
      </c>
    </row>
    <row r="576" spans="1:5" x14ac:dyDescent="0.2">
      <c r="A576" s="1" t="s">
        <v>35</v>
      </c>
      <c r="B576" s="1">
        <v>49</v>
      </c>
      <c r="C576" s="1" t="str">
        <f t="shared" si="8"/>
        <v>הובלה יבשתית והובלה באמצעות קווי צינורות</v>
      </c>
      <c r="D576" s="1">
        <v>300</v>
      </c>
      <c r="E576" s="2">
        <v>7494.6286458633922</v>
      </c>
    </row>
    <row r="577" spans="1:5" x14ac:dyDescent="0.2">
      <c r="A577" s="1" t="s">
        <v>35</v>
      </c>
      <c r="B577" s="1">
        <v>52</v>
      </c>
      <c r="C577" s="1" t="str">
        <f t="shared" si="8"/>
        <v>אחסנה ושירותי עזר לתחבורה</v>
      </c>
      <c r="D577" s="1">
        <v>68</v>
      </c>
      <c r="E577" s="2">
        <v>11095.247216386555</v>
      </c>
    </row>
    <row r="578" spans="1:5" x14ac:dyDescent="0.2">
      <c r="A578" s="1" t="s">
        <v>35</v>
      </c>
      <c r="B578" s="1">
        <v>55</v>
      </c>
      <c r="C578" s="1" t="str">
        <f t="shared" si="8"/>
        <v>שירותי אירוח</v>
      </c>
      <c r="D578" s="1">
        <v>273</v>
      </c>
      <c r="E578" s="2">
        <v>6455.7923589637894</v>
      </c>
    </row>
    <row r="579" spans="1:5" x14ac:dyDescent="0.2">
      <c r="A579" s="1" t="s">
        <v>35</v>
      </c>
      <c r="B579" s="1">
        <v>56</v>
      </c>
      <c r="C579" s="1" t="str">
        <f t="shared" ref="C579:C642" si="9">INDEX(L:L,MATCH(B579,K:K,0))</f>
        <v xml:space="preserve">שירותי מזון ומשקאות </v>
      </c>
      <c r="D579" s="1">
        <v>882</v>
      </c>
      <c r="E579" s="2">
        <v>4498.4333835193502</v>
      </c>
    </row>
    <row r="580" spans="1:5" x14ac:dyDescent="0.2">
      <c r="A580" s="1" t="s">
        <v>35</v>
      </c>
      <c r="B580" s="1">
        <v>58</v>
      </c>
      <c r="C580" s="1" t="str">
        <f t="shared" si="9"/>
        <v>הוצאה לאור</v>
      </c>
      <c r="D580" s="1">
        <v>23</v>
      </c>
      <c r="E580" s="2">
        <v>10097.365993788819</v>
      </c>
    </row>
    <row r="581" spans="1:5" x14ac:dyDescent="0.2">
      <c r="A581" s="1" t="s">
        <v>35</v>
      </c>
      <c r="B581" s="1">
        <v>59</v>
      </c>
      <c r="C581" s="1" t="str">
        <f t="shared" si="9"/>
        <v xml:space="preserve">הפקה, פוסט-פרודקשן והפצה של סרטי קולנוע, סרטי וידאו, תכניות טלוויזיה, הקלטה
 והוצאה לאור של קול ומוזיקה </v>
      </c>
      <c r="D581" s="1">
        <v>12</v>
      </c>
      <c r="E581" s="2">
        <v>9878.0888888888876</v>
      </c>
    </row>
    <row r="582" spans="1:5" x14ac:dyDescent="0.2">
      <c r="A582" s="1" t="s">
        <v>35</v>
      </c>
      <c r="B582" s="1">
        <v>61</v>
      </c>
      <c r="C582" s="1" t="str">
        <f t="shared" si="9"/>
        <v>שירותי תקשורת</v>
      </c>
      <c r="D582" s="1">
        <v>43</v>
      </c>
      <c r="E582" s="2">
        <v>13974.878359173126</v>
      </c>
    </row>
    <row r="583" spans="1:5" x14ac:dyDescent="0.2">
      <c r="A583" s="1" t="s">
        <v>35</v>
      </c>
      <c r="B583" s="1">
        <v>62</v>
      </c>
      <c r="C583" s="1" t="str">
        <f t="shared" si="9"/>
        <v>תכנות מחשבים, ייעוץ בתחום המחשבים ושירותים נלווים אחרים</v>
      </c>
      <c r="D583" s="1">
        <v>149</v>
      </c>
      <c r="E583" s="2">
        <v>15909.100183038445</v>
      </c>
    </row>
    <row r="584" spans="1:5" x14ac:dyDescent="0.2">
      <c r="A584" s="1" t="s">
        <v>35</v>
      </c>
      <c r="B584" s="1">
        <v>64</v>
      </c>
      <c r="C584" s="1" t="str">
        <f t="shared" si="9"/>
        <v>שירותים פיננסיים, פרט לביטוח ולקרנות פנסיה</v>
      </c>
      <c r="D584" s="1">
        <v>122</v>
      </c>
      <c r="E584" s="2">
        <v>12649.364706491142</v>
      </c>
    </row>
    <row r="585" spans="1:5" x14ac:dyDescent="0.2">
      <c r="A585" s="1" t="s">
        <v>35</v>
      </c>
      <c r="B585" s="1">
        <v>68</v>
      </c>
      <c r="C585" s="1" t="str">
        <f t="shared" si="9"/>
        <v>פעילויות בנדל"ן</v>
      </c>
      <c r="D585" s="1">
        <v>74</v>
      </c>
      <c r="E585" s="2">
        <v>10402.495799208302</v>
      </c>
    </row>
    <row r="586" spans="1:5" x14ac:dyDescent="0.2">
      <c r="A586" s="1" t="s">
        <v>35</v>
      </c>
      <c r="B586" s="1">
        <v>69</v>
      </c>
      <c r="C586" s="1" t="str">
        <f t="shared" si="9"/>
        <v>שירותים משפטיים ושירותי חשבונאות</v>
      </c>
      <c r="D586" s="1">
        <v>181</v>
      </c>
      <c r="E586" s="2">
        <v>8044.746428571425</v>
      </c>
    </row>
    <row r="587" spans="1:5" x14ac:dyDescent="0.2">
      <c r="A587" s="1" t="s">
        <v>35</v>
      </c>
      <c r="B587" s="1">
        <v>70</v>
      </c>
      <c r="C587" s="1" t="str">
        <f t="shared" si="9"/>
        <v>שירותי משרדים ראשיים; שירותי ייעוץ ניהולי</v>
      </c>
      <c r="D587" s="1">
        <v>57</v>
      </c>
      <c r="E587" s="2">
        <v>9125.9233702944202</v>
      </c>
    </row>
    <row r="588" spans="1:5" x14ac:dyDescent="0.2">
      <c r="A588" s="1" t="s">
        <v>35</v>
      </c>
      <c r="B588" s="1">
        <v>71</v>
      </c>
      <c r="C588" s="1" t="str">
        <f t="shared" si="9"/>
        <v>שירותי אדריכלות והנדסה; בדיקות טכניות וניתוח נתונים טכניים</v>
      </c>
      <c r="D588" s="1">
        <v>91</v>
      </c>
      <c r="E588" s="2">
        <v>10327.459160284159</v>
      </c>
    </row>
    <row r="589" spans="1:5" x14ac:dyDescent="0.2">
      <c r="A589" s="1" t="s">
        <v>35</v>
      </c>
      <c r="B589" s="1">
        <v>72</v>
      </c>
      <c r="C589" s="1" t="str">
        <f t="shared" si="9"/>
        <v>מחקר מדעי ופיתוח</v>
      </c>
      <c r="D589" s="1">
        <v>28</v>
      </c>
      <c r="E589" s="2">
        <v>13899.532884972168</v>
      </c>
    </row>
    <row r="590" spans="1:5" x14ac:dyDescent="0.2">
      <c r="A590" s="1" t="s">
        <v>35</v>
      </c>
      <c r="B590" s="1">
        <v>73</v>
      </c>
      <c r="C590" s="1" t="str">
        <f t="shared" si="9"/>
        <v>פרסום וחקר שווקים</v>
      </c>
      <c r="D590" s="1">
        <v>59</v>
      </c>
      <c r="E590" s="2">
        <v>5988.399812898966</v>
      </c>
    </row>
    <row r="591" spans="1:5" x14ac:dyDescent="0.2">
      <c r="A591" s="1" t="s">
        <v>35</v>
      </c>
      <c r="B591" s="1">
        <v>74</v>
      </c>
      <c r="C591" s="1" t="str">
        <f t="shared" si="9"/>
        <v>סוגים אחרים של שירותים מקצועיים, מדעיים וטכניים</v>
      </c>
      <c r="D591" s="1">
        <v>31</v>
      </c>
      <c r="E591" s="2">
        <v>6816.3792196155091</v>
      </c>
    </row>
    <row r="592" spans="1:5" x14ac:dyDescent="0.2">
      <c r="A592" s="1" t="s">
        <v>35</v>
      </c>
      <c r="B592" s="1">
        <v>75</v>
      </c>
      <c r="C592" s="1" t="str">
        <f t="shared" si="9"/>
        <v>שירותים וטרינריים</v>
      </c>
      <c r="D592" s="1">
        <v>10</v>
      </c>
      <c r="E592" s="2">
        <v>9073.3466666666682</v>
      </c>
    </row>
    <row r="593" spans="1:5" x14ac:dyDescent="0.2">
      <c r="A593" s="1" t="s">
        <v>35</v>
      </c>
      <c r="B593" s="1">
        <v>77</v>
      </c>
      <c r="C593" s="1" t="str">
        <f t="shared" si="9"/>
        <v>שירותי השכרה והחכרה</v>
      </c>
      <c r="D593" s="1">
        <v>18</v>
      </c>
      <c r="E593" s="2">
        <v>8391.3033509700163</v>
      </c>
    </row>
    <row r="594" spans="1:5" x14ac:dyDescent="0.2">
      <c r="A594" s="1" t="s">
        <v>35</v>
      </c>
      <c r="B594" s="1">
        <v>78</v>
      </c>
      <c r="C594" s="1" t="str">
        <f t="shared" si="9"/>
        <v>שירותי תעסוקה</v>
      </c>
      <c r="D594" s="1">
        <v>147</v>
      </c>
      <c r="E594" s="2">
        <v>4831.9016430092952</v>
      </c>
    </row>
    <row r="595" spans="1:5" x14ac:dyDescent="0.2">
      <c r="A595" s="1" t="s">
        <v>35</v>
      </c>
      <c r="B595" s="1">
        <v>79</v>
      </c>
      <c r="C595" s="1" t="str">
        <f t="shared" si="9"/>
        <v>פעילויות של סוכנויות נסיעות, מארגני טיולים, הזמנות ושירותים נלווים</v>
      </c>
      <c r="D595" s="1">
        <v>31</v>
      </c>
      <c r="E595" s="2">
        <v>8319.3284690220189</v>
      </c>
    </row>
    <row r="596" spans="1:5" x14ac:dyDescent="0.2">
      <c r="A596" s="1" t="s">
        <v>35</v>
      </c>
      <c r="B596" s="1">
        <v>80</v>
      </c>
      <c r="C596" s="1" t="str">
        <f t="shared" si="9"/>
        <v>שירותי שמירה, אבטחה וחקירה</v>
      </c>
      <c r="D596" s="1">
        <v>182</v>
      </c>
      <c r="E596" s="2">
        <v>6369.1913887699593</v>
      </c>
    </row>
    <row r="597" spans="1:5" x14ac:dyDescent="0.2">
      <c r="A597" s="1" t="s">
        <v>35</v>
      </c>
      <c r="B597" s="1">
        <v>81</v>
      </c>
      <c r="C597" s="1" t="str">
        <f t="shared" si="9"/>
        <v>שירותי תחזוקה לבניינים ועבודות גינון</v>
      </c>
      <c r="D597" s="1">
        <v>205</v>
      </c>
      <c r="E597" s="2">
        <v>4933.8773827121377</v>
      </c>
    </row>
    <row r="598" spans="1:5" x14ac:dyDescent="0.2">
      <c r="A598" s="1" t="s">
        <v>35</v>
      </c>
      <c r="B598" s="1">
        <v>82</v>
      </c>
      <c r="C598" s="1" t="str">
        <f t="shared" si="9"/>
        <v>שירותי ניהול ותמיכה למשרדים ולעסקים</v>
      </c>
      <c r="D598" s="1">
        <v>351</v>
      </c>
      <c r="E598" s="2">
        <v>5730.2908800047708</v>
      </c>
    </row>
    <row r="599" spans="1:5" x14ac:dyDescent="0.2">
      <c r="A599" s="1" t="s">
        <v>35</v>
      </c>
      <c r="B599" s="1">
        <v>83</v>
      </c>
      <c r="C599" s="1" t="str">
        <f t="shared" si="9"/>
        <v>מינהל מקומי</v>
      </c>
      <c r="D599" s="1">
        <v>576</v>
      </c>
      <c r="E599" s="2">
        <v>8629.7978075021128</v>
      </c>
    </row>
    <row r="600" spans="1:5" x14ac:dyDescent="0.2">
      <c r="A600" s="1" t="s">
        <v>35</v>
      </c>
      <c r="B600" s="1">
        <v>84</v>
      </c>
      <c r="C600" s="1" t="str">
        <f t="shared" si="9"/>
        <v>מינהל ציבורי וביטחון; ביטוח לאומי חובה</v>
      </c>
      <c r="D600" s="1">
        <v>569</v>
      </c>
      <c r="E600" s="2">
        <v>15021.016207391507</v>
      </c>
    </row>
    <row r="601" spans="1:5" x14ac:dyDescent="0.2">
      <c r="A601" s="1" t="s">
        <v>35</v>
      </c>
      <c r="B601" s="1">
        <v>85</v>
      </c>
      <c r="C601" s="1" t="str">
        <f t="shared" si="9"/>
        <v>חינוך</v>
      </c>
      <c r="D601" s="1">
        <v>2793</v>
      </c>
      <c r="E601" s="2">
        <v>8290.0467153247191</v>
      </c>
    </row>
    <row r="602" spans="1:5" x14ac:dyDescent="0.2">
      <c r="A602" s="1" t="s">
        <v>35</v>
      </c>
      <c r="B602" s="1">
        <v>86</v>
      </c>
      <c r="C602" s="1" t="str">
        <f t="shared" si="9"/>
        <v>שירותי בריאות</v>
      </c>
      <c r="D602" s="1">
        <v>416</v>
      </c>
      <c r="E602" s="2">
        <v>11517.285563915242</v>
      </c>
    </row>
    <row r="603" spans="1:5" x14ac:dyDescent="0.2">
      <c r="A603" s="1" t="s">
        <v>35</v>
      </c>
      <c r="B603" s="1">
        <v>87</v>
      </c>
      <c r="C603" s="1" t="str">
        <f t="shared" si="9"/>
        <v>מגורים טיפוליים</v>
      </c>
      <c r="D603" s="1">
        <v>67</v>
      </c>
      <c r="E603" s="2">
        <v>6293.0177489177495</v>
      </c>
    </row>
    <row r="604" spans="1:5" x14ac:dyDescent="0.2">
      <c r="A604" s="1" t="s">
        <v>35</v>
      </c>
      <c r="B604" s="1">
        <v>88</v>
      </c>
      <c r="C604" s="1" t="str">
        <f t="shared" si="9"/>
        <v>שירותי רווחה וסעד ללא מגורים</v>
      </c>
      <c r="D604" s="1">
        <v>1401</v>
      </c>
      <c r="E604" s="2">
        <v>4067.0091229157069</v>
      </c>
    </row>
    <row r="605" spans="1:5" x14ac:dyDescent="0.2">
      <c r="A605" s="1" t="s">
        <v>35</v>
      </c>
      <c r="B605" s="1">
        <v>90</v>
      </c>
      <c r="C605" s="1" t="str">
        <f t="shared" si="9"/>
        <v>יצירה, אמנות ובידור</v>
      </c>
      <c r="D605" s="1">
        <v>60</v>
      </c>
      <c r="E605" s="2">
        <v>4587.7434355459363</v>
      </c>
    </row>
    <row r="606" spans="1:5" x14ac:dyDescent="0.2">
      <c r="A606" s="1" t="s">
        <v>35</v>
      </c>
      <c r="B606" s="1">
        <v>91</v>
      </c>
      <c r="C606" s="1" t="str">
        <f t="shared" si="9"/>
        <v>הפעלת ספריות, ארכיונים, מוזאונים ופעילויות תרבות אחרות</v>
      </c>
      <c r="D606" s="1">
        <v>14</v>
      </c>
      <c r="E606" s="2">
        <v>8177.0857142857139</v>
      </c>
    </row>
    <row r="607" spans="1:5" x14ac:dyDescent="0.2">
      <c r="A607" s="1" t="s">
        <v>35</v>
      </c>
      <c r="B607" s="1">
        <v>93</v>
      </c>
      <c r="C607" s="1" t="str">
        <f t="shared" si="9"/>
        <v>פעילויות ספורט, בילוי ופנאי</v>
      </c>
      <c r="D607" s="1">
        <v>120</v>
      </c>
      <c r="E607" s="2">
        <v>4097.2989505170754</v>
      </c>
    </row>
    <row r="608" spans="1:5" x14ac:dyDescent="0.2">
      <c r="A608" s="1" t="s">
        <v>35</v>
      </c>
      <c r="B608" s="1">
        <v>94</v>
      </c>
      <c r="C608" s="1" t="str">
        <f t="shared" si="9"/>
        <v>פעילויות של ארגוני חברים</v>
      </c>
      <c r="D608" s="1">
        <v>750</v>
      </c>
      <c r="E608" s="2">
        <v>4665.7408271765262</v>
      </c>
    </row>
    <row r="609" spans="1:5" x14ac:dyDescent="0.2">
      <c r="A609" s="1" t="s">
        <v>35</v>
      </c>
      <c r="B609" s="1">
        <v>95</v>
      </c>
      <c r="C609" s="1" t="str">
        <f t="shared" si="9"/>
        <v>תיקון של מחשבים, ציוד אישי וציוד לבית</v>
      </c>
      <c r="D609" s="1">
        <v>11</v>
      </c>
      <c r="E609" s="2">
        <v>6399.2310606060601</v>
      </c>
    </row>
    <row r="610" spans="1:5" x14ac:dyDescent="0.2">
      <c r="A610" s="1" t="s">
        <v>35</v>
      </c>
      <c r="B610" s="1">
        <v>96</v>
      </c>
      <c r="C610" s="1" t="str">
        <f t="shared" si="9"/>
        <v>שירותים אישיים אחרים</v>
      </c>
      <c r="D610" s="1">
        <v>54</v>
      </c>
      <c r="E610" s="2">
        <v>5309.3673106728656</v>
      </c>
    </row>
    <row r="611" spans="1:5" x14ac:dyDescent="0.2">
      <c r="A611" s="1" t="s">
        <v>36</v>
      </c>
      <c r="B611" s="1">
        <v>1</v>
      </c>
      <c r="C611" s="1" t="str">
        <f t="shared" si="9"/>
        <v>גידולים צמחיים</v>
      </c>
      <c r="D611" s="1">
        <v>113</v>
      </c>
      <c r="E611" s="2">
        <v>6995.8011196031084</v>
      </c>
    </row>
    <row r="612" spans="1:5" x14ac:dyDescent="0.2">
      <c r="A612" s="1" t="s">
        <v>36</v>
      </c>
      <c r="B612" s="1">
        <v>10</v>
      </c>
      <c r="C612" s="1" t="str">
        <f t="shared" si="9"/>
        <v>ייצור מוצרי מזון</v>
      </c>
      <c r="D612" s="1">
        <v>62</v>
      </c>
      <c r="E612" s="2">
        <v>8302.2632151003127</v>
      </c>
    </row>
    <row r="613" spans="1:5" x14ac:dyDescent="0.2">
      <c r="A613" s="1" t="s">
        <v>36</v>
      </c>
      <c r="B613" s="1">
        <v>11</v>
      </c>
      <c r="C613" s="1" t="str">
        <f t="shared" si="9"/>
        <v>ייצור משקאות</v>
      </c>
      <c r="D613" s="1">
        <v>123</v>
      </c>
      <c r="E613" s="2">
        <v>9379.0191573106204</v>
      </c>
    </row>
    <row r="614" spans="1:5" x14ac:dyDescent="0.2">
      <c r="A614" s="1" t="s">
        <v>36</v>
      </c>
      <c r="B614" s="1">
        <v>20</v>
      </c>
      <c r="C614" s="1" t="str">
        <f t="shared" si="9"/>
        <v>ייצור כימיקלים ומוצריהם</v>
      </c>
      <c r="D614" s="1">
        <v>10</v>
      </c>
      <c r="E614" s="2">
        <v>11472.783333333335</v>
      </c>
    </row>
    <row r="615" spans="1:5" x14ac:dyDescent="0.2">
      <c r="A615" s="1" t="s">
        <v>36</v>
      </c>
      <c r="B615" s="1">
        <v>22</v>
      </c>
      <c r="C615" s="1" t="str">
        <f t="shared" si="9"/>
        <v xml:space="preserve">ייצור מוצרי גומי ופלסטיק </v>
      </c>
      <c r="D615" s="1">
        <v>75</v>
      </c>
      <c r="E615" s="2">
        <v>10411.189050505051</v>
      </c>
    </row>
    <row r="616" spans="1:5" x14ac:dyDescent="0.2">
      <c r="A616" s="1" t="s">
        <v>36</v>
      </c>
      <c r="B616" s="1">
        <v>23</v>
      </c>
      <c r="C616" s="1" t="str">
        <f t="shared" si="9"/>
        <v>ייצור מוצרים אחרים על בסיס מינרלים אל-מתכתיים</v>
      </c>
      <c r="D616" s="1">
        <v>41</v>
      </c>
      <c r="E616" s="2">
        <v>11682.222160630698</v>
      </c>
    </row>
    <row r="617" spans="1:5" x14ac:dyDescent="0.2">
      <c r="A617" s="1" t="s">
        <v>36</v>
      </c>
      <c r="B617" s="1">
        <v>26</v>
      </c>
      <c r="C617" s="1" t="str">
        <f t="shared" si="9"/>
        <v>ייצור מחשבים, מכשור אלקטרוני ואופטי</v>
      </c>
      <c r="D617" s="1">
        <v>125</v>
      </c>
      <c r="E617" s="2">
        <v>9249.9785572871588</v>
      </c>
    </row>
    <row r="618" spans="1:5" x14ac:dyDescent="0.2">
      <c r="A618" s="1" t="s">
        <v>36</v>
      </c>
      <c r="B618" s="1">
        <v>27</v>
      </c>
      <c r="C618" s="1" t="str">
        <f t="shared" si="9"/>
        <v>ייצור ציוד חשמלי</v>
      </c>
      <c r="D618" s="1">
        <v>90</v>
      </c>
      <c r="E618" s="2">
        <v>11221.385493827158</v>
      </c>
    </row>
    <row r="619" spans="1:5" x14ac:dyDescent="0.2">
      <c r="A619" s="1" t="s">
        <v>36</v>
      </c>
      <c r="B619" s="1">
        <v>29</v>
      </c>
      <c r="C619" s="1" t="str">
        <f t="shared" si="9"/>
        <v xml:space="preserve">ייצור כלי רכב מנועיים ונגררים </v>
      </c>
      <c r="D619" s="1">
        <v>17</v>
      </c>
      <c r="E619" s="2">
        <v>16812.259803921566</v>
      </c>
    </row>
    <row r="620" spans="1:5" x14ac:dyDescent="0.2">
      <c r="A620" s="1" t="s">
        <v>36</v>
      </c>
      <c r="B620" s="1">
        <v>32</v>
      </c>
      <c r="C620" s="1" t="str">
        <f t="shared" si="9"/>
        <v>ענפי ייצור אחרים</v>
      </c>
      <c r="D620" s="1">
        <v>90</v>
      </c>
      <c r="E620" s="2">
        <v>12155.216358024692</v>
      </c>
    </row>
    <row r="621" spans="1:5" x14ac:dyDescent="0.2">
      <c r="A621" s="1" t="s">
        <v>36</v>
      </c>
      <c r="B621" s="1">
        <v>41</v>
      </c>
      <c r="C621" s="1" t="str">
        <f t="shared" si="9"/>
        <v>בניית מבנים ובניינים</v>
      </c>
      <c r="D621" s="1">
        <v>27</v>
      </c>
      <c r="E621" s="2">
        <v>9872.2915544332209</v>
      </c>
    </row>
    <row r="622" spans="1:5" x14ac:dyDescent="0.2">
      <c r="A622" s="1" t="s">
        <v>36</v>
      </c>
      <c r="B622" s="1">
        <v>43</v>
      </c>
      <c r="C622" s="1" t="str">
        <f t="shared" si="9"/>
        <v xml:space="preserve">עבודות בנייה מיוחדות </v>
      </c>
      <c r="D622" s="1">
        <v>65</v>
      </c>
      <c r="E622" s="2">
        <v>9755.1577677877649</v>
      </c>
    </row>
    <row r="623" spans="1:5" x14ac:dyDescent="0.2">
      <c r="A623" s="1" t="s">
        <v>36</v>
      </c>
      <c r="B623" s="1">
        <v>45</v>
      </c>
      <c r="C623" s="1" t="str">
        <f t="shared" si="9"/>
        <v>מסחר סיטוני וקמעוני בכלי רכב מנועיים ובאופנועים ותיקונם</v>
      </c>
      <c r="D623" s="1">
        <v>47</v>
      </c>
      <c r="E623" s="2">
        <v>10619.469604863221</v>
      </c>
    </row>
    <row r="624" spans="1:5" x14ac:dyDescent="0.2">
      <c r="A624" s="1" t="s">
        <v>36</v>
      </c>
      <c r="B624" s="1">
        <v>46</v>
      </c>
      <c r="C624" s="1" t="str">
        <f t="shared" si="9"/>
        <v>מסחר סיטוני, פרט לכלי רכב מנועיים ולאופנועים</v>
      </c>
      <c r="D624" s="1">
        <v>86</v>
      </c>
      <c r="E624" s="2">
        <v>7546.0656779589926</v>
      </c>
    </row>
    <row r="625" spans="1:5" x14ac:dyDescent="0.2">
      <c r="A625" s="1" t="s">
        <v>36</v>
      </c>
      <c r="B625" s="1">
        <v>47</v>
      </c>
      <c r="C625" s="1" t="str">
        <f t="shared" si="9"/>
        <v>מכירה קמעונית, פרט לכלי רכב מנועיים ולאופנועים</v>
      </c>
      <c r="D625" s="1">
        <v>233</v>
      </c>
      <c r="E625" s="2">
        <v>6320.9325658485568</v>
      </c>
    </row>
    <row r="626" spans="1:5" x14ac:dyDescent="0.2">
      <c r="A626" s="1" t="s">
        <v>36</v>
      </c>
      <c r="B626" s="1">
        <v>49</v>
      </c>
      <c r="C626" s="1" t="str">
        <f t="shared" si="9"/>
        <v>הובלה יבשתית והובלה באמצעות קווי צינורות</v>
      </c>
      <c r="D626" s="1">
        <v>77</v>
      </c>
      <c r="E626" s="2">
        <v>8865.3389394876376</v>
      </c>
    </row>
    <row r="627" spans="1:5" x14ac:dyDescent="0.2">
      <c r="A627" s="1" t="s">
        <v>36</v>
      </c>
      <c r="B627" s="1">
        <v>52</v>
      </c>
      <c r="C627" s="1" t="str">
        <f t="shared" si="9"/>
        <v>אחסנה ושירותי עזר לתחבורה</v>
      </c>
      <c r="D627" s="1">
        <v>22</v>
      </c>
      <c r="E627" s="2">
        <v>9782.410146923783</v>
      </c>
    </row>
    <row r="628" spans="1:5" x14ac:dyDescent="0.2">
      <c r="A628" s="1" t="s">
        <v>36</v>
      </c>
      <c r="B628" s="1">
        <v>55</v>
      </c>
      <c r="C628" s="1" t="str">
        <f t="shared" si="9"/>
        <v>שירותי אירוח</v>
      </c>
      <c r="D628" s="1">
        <v>162</v>
      </c>
      <c r="E628" s="2">
        <v>7604.268009682366</v>
      </c>
    </row>
    <row r="629" spans="1:5" x14ac:dyDescent="0.2">
      <c r="A629" s="1" t="s">
        <v>36</v>
      </c>
      <c r="B629" s="1">
        <v>56</v>
      </c>
      <c r="C629" s="1" t="str">
        <f t="shared" si="9"/>
        <v xml:space="preserve">שירותי מזון ומשקאות </v>
      </c>
      <c r="D629" s="1">
        <v>232</v>
      </c>
      <c r="E629" s="2">
        <v>4793.0952477359806</v>
      </c>
    </row>
    <row r="630" spans="1:5" x14ac:dyDescent="0.2">
      <c r="A630" s="1" t="s">
        <v>36</v>
      </c>
      <c r="B630" s="1">
        <v>61</v>
      </c>
      <c r="C630" s="1" t="str">
        <f t="shared" si="9"/>
        <v>שירותי תקשורת</v>
      </c>
      <c r="D630" s="1">
        <v>13</v>
      </c>
      <c r="E630" s="2">
        <v>12235.059440559438</v>
      </c>
    </row>
    <row r="631" spans="1:5" x14ac:dyDescent="0.2">
      <c r="A631" s="1" t="s">
        <v>36</v>
      </c>
      <c r="B631" s="1">
        <v>62</v>
      </c>
      <c r="C631" s="1" t="str">
        <f t="shared" si="9"/>
        <v>תכנות מחשבים, ייעוץ בתחום המחשבים ושירותים נלווים אחרים</v>
      </c>
      <c r="D631" s="1">
        <v>90</v>
      </c>
      <c r="E631" s="2">
        <v>17659.392210598045</v>
      </c>
    </row>
    <row r="632" spans="1:5" x14ac:dyDescent="0.2">
      <c r="A632" s="1" t="s">
        <v>36</v>
      </c>
      <c r="B632" s="1">
        <v>64</v>
      </c>
      <c r="C632" s="1" t="str">
        <f t="shared" si="9"/>
        <v>שירותים פיננסיים, פרט לביטוח ולקרנות פנסיה</v>
      </c>
      <c r="D632" s="1">
        <v>43</v>
      </c>
      <c r="E632" s="2">
        <v>10698.005520319472</v>
      </c>
    </row>
    <row r="633" spans="1:5" x14ac:dyDescent="0.2">
      <c r="A633" s="1" t="s">
        <v>36</v>
      </c>
      <c r="B633" s="1">
        <v>68</v>
      </c>
      <c r="C633" s="1" t="str">
        <f t="shared" si="9"/>
        <v>פעילויות בנדל"ן</v>
      </c>
      <c r="D633" s="1">
        <v>13</v>
      </c>
      <c r="E633" s="2">
        <v>7143.333333333333</v>
      </c>
    </row>
    <row r="634" spans="1:5" x14ac:dyDescent="0.2">
      <c r="A634" s="1" t="s">
        <v>36</v>
      </c>
      <c r="B634" s="1">
        <v>69</v>
      </c>
      <c r="C634" s="1" t="str">
        <f t="shared" si="9"/>
        <v>שירותים משפטיים ושירותי חשבונאות</v>
      </c>
      <c r="D634" s="1">
        <v>52</v>
      </c>
      <c r="E634" s="2">
        <v>8064.3919358419353</v>
      </c>
    </row>
    <row r="635" spans="1:5" x14ac:dyDescent="0.2">
      <c r="A635" s="1" t="s">
        <v>36</v>
      </c>
      <c r="B635" s="1">
        <v>70</v>
      </c>
      <c r="C635" s="1" t="str">
        <f t="shared" si="9"/>
        <v>שירותי משרדים ראשיים; שירותי ייעוץ ניהולי</v>
      </c>
      <c r="D635" s="1">
        <v>47</v>
      </c>
      <c r="E635" s="2">
        <v>8319.4425048355915</v>
      </c>
    </row>
    <row r="636" spans="1:5" x14ac:dyDescent="0.2">
      <c r="A636" s="1" t="s">
        <v>36</v>
      </c>
      <c r="B636" s="1">
        <v>71</v>
      </c>
      <c r="C636" s="1" t="str">
        <f t="shared" si="9"/>
        <v>שירותי אדריכלות והנדסה; בדיקות טכניות וניתוח נתונים טכניים</v>
      </c>
      <c r="D636" s="1">
        <v>48</v>
      </c>
      <c r="E636" s="2">
        <v>12678.673938041129</v>
      </c>
    </row>
    <row r="637" spans="1:5" x14ac:dyDescent="0.2">
      <c r="A637" s="1" t="s">
        <v>36</v>
      </c>
      <c r="B637" s="1">
        <v>72</v>
      </c>
      <c r="C637" s="1" t="str">
        <f t="shared" si="9"/>
        <v>מחקר מדעי ופיתוח</v>
      </c>
      <c r="D637" s="1">
        <v>71</v>
      </c>
      <c r="E637" s="2">
        <v>13978.204331036728</v>
      </c>
    </row>
    <row r="638" spans="1:5" x14ac:dyDescent="0.2">
      <c r="A638" s="1" t="s">
        <v>36</v>
      </c>
      <c r="B638" s="1">
        <v>73</v>
      </c>
      <c r="C638" s="1" t="str">
        <f t="shared" si="9"/>
        <v>פרסום וחקר שווקים</v>
      </c>
      <c r="D638" s="1">
        <v>21</v>
      </c>
      <c r="E638" s="2">
        <v>10243.918145743148</v>
      </c>
    </row>
    <row r="639" spans="1:5" x14ac:dyDescent="0.2">
      <c r="A639" s="1" t="s">
        <v>36</v>
      </c>
      <c r="B639" s="1">
        <v>74</v>
      </c>
      <c r="C639" s="1" t="str">
        <f t="shared" si="9"/>
        <v>סוגים אחרים של שירותים מקצועיים, מדעיים וטכניים</v>
      </c>
      <c r="D639" s="1">
        <v>24</v>
      </c>
      <c r="E639" s="2">
        <v>6274.7205627705634</v>
      </c>
    </row>
    <row r="640" spans="1:5" x14ac:dyDescent="0.2">
      <c r="A640" s="1" t="s">
        <v>36</v>
      </c>
      <c r="B640" s="1">
        <v>77</v>
      </c>
      <c r="C640" s="1" t="str">
        <f t="shared" si="9"/>
        <v>שירותי השכרה והחכרה</v>
      </c>
      <c r="D640" s="1">
        <v>15</v>
      </c>
      <c r="E640" s="2">
        <v>7898.4137518037505</v>
      </c>
    </row>
    <row r="641" spans="1:5" x14ac:dyDescent="0.2">
      <c r="A641" s="1" t="s">
        <v>36</v>
      </c>
      <c r="B641" s="1">
        <v>78</v>
      </c>
      <c r="C641" s="1" t="str">
        <f t="shared" si="9"/>
        <v>שירותי תעסוקה</v>
      </c>
      <c r="D641" s="1">
        <v>88</v>
      </c>
      <c r="E641" s="2">
        <v>5526.4570149547435</v>
      </c>
    </row>
    <row r="642" spans="1:5" x14ac:dyDescent="0.2">
      <c r="A642" s="1" t="s">
        <v>36</v>
      </c>
      <c r="B642" s="1">
        <v>79</v>
      </c>
      <c r="C642" s="1" t="str">
        <f t="shared" si="9"/>
        <v>פעילויות של סוכנויות נסיעות, מארגני טיולים, הזמנות ושירותים נלווים</v>
      </c>
      <c r="D642" s="1">
        <v>18</v>
      </c>
      <c r="E642" s="2">
        <v>6474.1617123617125</v>
      </c>
    </row>
    <row r="643" spans="1:5" x14ac:dyDescent="0.2">
      <c r="A643" s="1" t="s">
        <v>36</v>
      </c>
      <c r="B643" s="1">
        <v>80</v>
      </c>
      <c r="C643" s="1" t="str">
        <f t="shared" ref="C643:C706" si="10">INDEX(L:L,MATCH(B643,K:K,0))</f>
        <v>שירותי שמירה, אבטחה וחקירה</v>
      </c>
      <c r="D643" s="1">
        <v>49</v>
      </c>
      <c r="E643" s="2">
        <v>7133.6671150278271</v>
      </c>
    </row>
    <row r="644" spans="1:5" x14ac:dyDescent="0.2">
      <c r="A644" s="1" t="s">
        <v>36</v>
      </c>
      <c r="B644" s="1">
        <v>81</v>
      </c>
      <c r="C644" s="1" t="str">
        <f t="shared" si="10"/>
        <v>שירותי תחזוקה לבניינים ועבודות גינון</v>
      </c>
      <c r="D644" s="1">
        <v>102</v>
      </c>
      <c r="E644" s="2">
        <v>6531.9954414594104</v>
      </c>
    </row>
    <row r="645" spans="1:5" x14ac:dyDescent="0.2">
      <c r="A645" s="1" t="s">
        <v>36</v>
      </c>
      <c r="B645" s="1">
        <v>82</v>
      </c>
      <c r="C645" s="1" t="str">
        <f t="shared" si="10"/>
        <v>שירותי ניהול ותמיכה למשרדים ולעסקים</v>
      </c>
      <c r="D645" s="1">
        <v>29</v>
      </c>
      <c r="E645" s="2">
        <v>6585.0297059262575</v>
      </c>
    </row>
    <row r="646" spans="1:5" x14ac:dyDescent="0.2">
      <c r="A646" s="1" t="s">
        <v>36</v>
      </c>
      <c r="B646" s="1">
        <v>83</v>
      </c>
      <c r="C646" s="1" t="str">
        <f t="shared" si="10"/>
        <v>מינהל מקומי</v>
      </c>
      <c r="D646" s="1">
        <v>293</v>
      </c>
      <c r="E646" s="2">
        <v>8153.5472048618767</v>
      </c>
    </row>
    <row r="647" spans="1:5" x14ac:dyDescent="0.2">
      <c r="A647" s="1" t="s">
        <v>36</v>
      </c>
      <c r="B647" s="1">
        <v>84</v>
      </c>
      <c r="C647" s="1" t="str">
        <f t="shared" si="10"/>
        <v>מינהל ציבורי וביטחון; ביטוח לאומי חובה</v>
      </c>
      <c r="D647" s="1">
        <v>34</v>
      </c>
      <c r="E647" s="2">
        <v>17338.976931075464</v>
      </c>
    </row>
    <row r="648" spans="1:5" x14ac:dyDescent="0.2">
      <c r="A648" s="1" t="s">
        <v>36</v>
      </c>
      <c r="B648" s="1">
        <v>85</v>
      </c>
      <c r="C648" s="1" t="str">
        <f t="shared" si="10"/>
        <v>חינוך</v>
      </c>
      <c r="D648" s="1">
        <v>491</v>
      </c>
      <c r="E648" s="2">
        <v>10341.478680314936</v>
      </c>
    </row>
    <row r="649" spans="1:5" x14ac:dyDescent="0.2">
      <c r="A649" s="1" t="s">
        <v>36</v>
      </c>
      <c r="B649" s="1">
        <v>86</v>
      </c>
      <c r="C649" s="1" t="str">
        <f t="shared" si="10"/>
        <v>שירותי בריאות</v>
      </c>
      <c r="D649" s="1">
        <v>63</v>
      </c>
      <c r="E649" s="2">
        <v>11497.222998694426</v>
      </c>
    </row>
    <row r="650" spans="1:5" x14ac:dyDescent="0.2">
      <c r="A650" s="1" t="s">
        <v>36</v>
      </c>
      <c r="B650" s="1">
        <v>87</v>
      </c>
      <c r="C650" s="1" t="str">
        <f t="shared" si="10"/>
        <v>מגורים טיפוליים</v>
      </c>
      <c r="D650" s="1">
        <v>23</v>
      </c>
      <c r="E650" s="2">
        <v>10044.595703933748</v>
      </c>
    </row>
    <row r="651" spans="1:5" x14ac:dyDescent="0.2">
      <c r="A651" s="1" t="s">
        <v>36</v>
      </c>
      <c r="B651" s="1">
        <v>88</v>
      </c>
      <c r="C651" s="1" t="str">
        <f t="shared" si="10"/>
        <v>שירותי רווחה וסעד ללא מגורים</v>
      </c>
      <c r="D651" s="1">
        <v>217</v>
      </c>
      <c r="E651" s="2">
        <v>3866.9233513542276</v>
      </c>
    </row>
    <row r="652" spans="1:5" x14ac:dyDescent="0.2">
      <c r="A652" s="1" t="s">
        <v>36</v>
      </c>
      <c r="B652" s="1">
        <v>90</v>
      </c>
      <c r="C652" s="1" t="str">
        <f t="shared" si="10"/>
        <v>יצירה, אמנות ובידור</v>
      </c>
      <c r="D652" s="1">
        <v>11</v>
      </c>
      <c r="E652" s="2">
        <v>6275.2967532467528</v>
      </c>
    </row>
    <row r="653" spans="1:5" x14ac:dyDescent="0.2">
      <c r="A653" s="1" t="s">
        <v>36</v>
      </c>
      <c r="B653" s="1">
        <v>91</v>
      </c>
      <c r="C653" s="1" t="str">
        <f t="shared" si="10"/>
        <v>הפעלת ספריות, ארכיונים, מוזאונים ופעילויות תרבות אחרות</v>
      </c>
      <c r="D653" s="1">
        <v>31</v>
      </c>
      <c r="E653" s="2">
        <v>7303.6415607689796</v>
      </c>
    </row>
    <row r="654" spans="1:5" x14ac:dyDescent="0.2">
      <c r="A654" s="1" t="s">
        <v>36</v>
      </c>
      <c r="B654" s="1">
        <v>93</v>
      </c>
      <c r="C654" s="1" t="str">
        <f t="shared" si="10"/>
        <v>פעילויות ספורט, בילוי ופנאי</v>
      </c>
      <c r="D654" s="1">
        <v>71</v>
      </c>
      <c r="E654" s="2">
        <v>4857.476910960715</v>
      </c>
    </row>
    <row r="655" spans="1:5" x14ac:dyDescent="0.2">
      <c r="A655" s="1" t="s">
        <v>36</v>
      </c>
      <c r="B655" s="1">
        <v>94</v>
      </c>
      <c r="C655" s="1" t="str">
        <f t="shared" si="10"/>
        <v>פעילויות של ארגוני חברים</v>
      </c>
      <c r="D655" s="1">
        <v>191</v>
      </c>
      <c r="E655" s="2">
        <v>5137.5720820773204</v>
      </c>
    </row>
    <row r="656" spans="1:5" x14ac:dyDescent="0.2">
      <c r="A656" s="1" t="s">
        <v>36</v>
      </c>
      <c r="B656" s="1">
        <v>96</v>
      </c>
      <c r="C656" s="1" t="str">
        <f t="shared" si="10"/>
        <v>שירותים אישיים אחרים</v>
      </c>
      <c r="D656" s="1">
        <v>13</v>
      </c>
      <c r="E656" s="2">
        <v>5225.0677655677655</v>
      </c>
    </row>
    <row r="657" spans="1:5" x14ac:dyDescent="0.2">
      <c r="A657" s="1" t="s">
        <v>37</v>
      </c>
      <c r="B657" s="1">
        <v>1</v>
      </c>
      <c r="C657" s="1" t="str">
        <f t="shared" si="10"/>
        <v>גידולים צמחיים</v>
      </c>
      <c r="D657" s="1">
        <v>195</v>
      </c>
      <c r="E657" s="2">
        <v>7046.5987734487726</v>
      </c>
    </row>
    <row r="658" spans="1:5" x14ac:dyDescent="0.2">
      <c r="A658" s="1" t="s">
        <v>37</v>
      </c>
      <c r="B658" s="1">
        <v>4</v>
      </c>
      <c r="C658" s="1" t="str">
        <f t="shared" si="10"/>
        <v>גידול בעלי חיים, ציד ופעילויות נלוות</v>
      </c>
      <c r="D658" s="1">
        <v>10</v>
      </c>
      <c r="E658" s="2">
        <v>9391.3289682539671</v>
      </c>
    </row>
    <row r="659" spans="1:5" x14ac:dyDescent="0.2">
      <c r="A659" s="1" t="s">
        <v>37</v>
      </c>
      <c r="B659" s="1">
        <v>8</v>
      </c>
      <c r="C659" s="1" t="str">
        <f t="shared" si="10"/>
        <v>סוגים אחרים של כרייה וחציבה</v>
      </c>
      <c r="D659" s="1">
        <v>26</v>
      </c>
      <c r="E659" s="2">
        <v>17261.151709401707</v>
      </c>
    </row>
    <row r="660" spans="1:5" x14ac:dyDescent="0.2">
      <c r="A660" s="1" t="s">
        <v>37</v>
      </c>
      <c r="B660" s="1">
        <v>10</v>
      </c>
      <c r="C660" s="1" t="str">
        <f t="shared" si="10"/>
        <v>ייצור מוצרי מזון</v>
      </c>
      <c r="D660" s="1">
        <v>338</v>
      </c>
      <c r="E660" s="2">
        <v>9683.7907898725189</v>
      </c>
    </row>
    <row r="661" spans="1:5" x14ac:dyDescent="0.2">
      <c r="A661" s="1" t="s">
        <v>37</v>
      </c>
      <c r="B661" s="1">
        <v>11</v>
      </c>
      <c r="C661" s="1" t="str">
        <f t="shared" si="10"/>
        <v>ייצור משקאות</v>
      </c>
      <c r="D661" s="1">
        <v>89</v>
      </c>
      <c r="E661" s="2">
        <v>11526.435367722164</v>
      </c>
    </row>
    <row r="662" spans="1:5" x14ac:dyDescent="0.2">
      <c r="A662" s="1" t="s">
        <v>37</v>
      </c>
      <c r="B662" s="1">
        <v>13</v>
      </c>
      <c r="C662" s="1" t="str">
        <f t="shared" si="10"/>
        <v>ייצור טקסטיל</v>
      </c>
      <c r="D662" s="1">
        <v>213</v>
      </c>
      <c r="E662" s="2">
        <v>11334.58172740145</v>
      </c>
    </row>
    <row r="663" spans="1:5" x14ac:dyDescent="0.2">
      <c r="A663" s="1" t="s">
        <v>37</v>
      </c>
      <c r="B663" s="1">
        <v>16</v>
      </c>
      <c r="C663" s="1" t="str">
        <f t="shared" si="10"/>
        <v>ייצור מוצרי עץ ומוצרי עץ ושעם, פרט לרהיטים; ייצור מוצרי קש ומוצרים מחומרי קליעה</v>
      </c>
      <c r="D663" s="1">
        <v>65</v>
      </c>
      <c r="E663" s="2">
        <v>13805.342246642247</v>
      </c>
    </row>
    <row r="664" spans="1:5" x14ac:dyDescent="0.2">
      <c r="A664" s="1" t="s">
        <v>37</v>
      </c>
      <c r="B664" s="1">
        <v>18</v>
      </c>
      <c r="C664" s="1" t="str">
        <f t="shared" si="10"/>
        <v>הדפסה ושכפול של חומר תקשורתי מוקלט</v>
      </c>
      <c r="D664" s="1">
        <v>12</v>
      </c>
      <c r="E664" s="2">
        <v>7808.4103535353534</v>
      </c>
    </row>
    <row r="665" spans="1:5" x14ac:dyDescent="0.2">
      <c r="A665" s="1" t="s">
        <v>37</v>
      </c>
      <c r="B665" s="1">
        <v>20</v>
      </c>
      <c r="C665" s="1" t="str">
        <f t="shared" si="10"/>
        <v>ייצור כימיקלים ומוצריהם</v>
      </c>
      <c r="D665" s="1">
        <v>154</v>
      </c>
      <c r="E665" s="2">
        <v>13476.524318322367</v>
      </c>
    </row>
    <row r="666" spans="1:5" x14ac:dyDescent="0.2">
      <c r="A666" s="1" t="s">
        <v>37</v>
      </c>
      <c r="B666" s="1">
        <v>22</v>
      </c>
      <c r="C666" s="1" t="str">
        <f t="shared" si="10"/>
        <v xml:space="preserve">ייצור מוצרי גומי ופלסטיק </v>
      </c>
      <c r="D666" s="1">
        <v>345</v>
      </c>
      <c r="E666" s="2">
        <v>10421.992458330724</v>
      </c>
    </row>
    <row r="667" spans="1:5" x14ac:dyDescent="0.2">
      <c r="A667" s="1" t="s">
        <v>37</v>
      </c>
      <c r="B667" s="1">
        <v>23</v>
      </c>
      <c r="C667" s="1" t="str">
        <f t="shared" si="10"/>
        <v>ייצור מוצרים אחרים על בסיס מינרלים אל-מתכתיים</v>
      </c>
      <c r="D667" s="1">
        <v>211</v>
      </c>
      <c r="E667" s="2">
        <v>13690.041894571978</v>
      </c>
    </row>
    <row r="668" spans="1:5" x14ac:dyDescent="0.2">
      <c r="A668" s="1" t="s">
        <v>37</v>
      </c>
      <c r="B668" s="1">
        <v>26</v>
      </c>
      <c r="C668" s="1" t="str">
        <f t="shared" si="10"/>
        <v>ייצור מחשבים, מכשור אלקטרוני ואופטי</v>
      </c>
      <c r="D668" s="1">
        <v>390</v>
      </c>
      <c r="E668" s="2">
        <v>12358.952426277416</v>
      </c>
    </row>
    <row r="669" spans="1:5" x14ac:dyDescent="0.2">
      <c r="A669" s="1" t="s">
        <v>37</v>
      </c>
      <c r="B669" s="1">
        <v>27</v>
      </c>
      <c r="C669" s="1" t="str">
        <f t="shared" si="10"/>
        <v>ייצור ציוד חשמלי</v>
      </c>
      <c r="D669" s="1">
        <v>183</v>
      </c>
      <c r="E669" s="2">
        <v>10292.665857442498</v>
      </c>
    </row>
    <row r="670" spans="1:5" x14ac:dyDescent="0.2">
      <c r="A670" s="1" t="s">
        <v>37</v>
      </c>
      <c r="B670" s="1">
        <v>29</v>
      </c>
      <c r="C670" s="1" t="str">
        <f t="shared" si="10"/>
        <v xml:space="preserve">ייצור כלי רכב מנועיים ונגררים </v>
      </c>
      <c r="D670" s="1">
        <v>18</v>
      </c>
      <c r="E670" s="2">
        <v>13256.772867564532</v>
      </c>
    </row>
    <row r="671" spans="1:5" x14ac:dyDescent="0.2">
      <c r="A671" s="1" t="s">
        <v>37</v>
      </c>
      <c r="B671" s="1">
        <v>31</v>
      </c>
      <c r="C671" s="1" t="str">
        <f t="shared" si="10"/>
        <v>ייצור רהיטים</v>
      </c>
      <c r="D671" s="1">
        <v>19</v>
      </c>
      <c r="E671" s="2">
        <v>14211.600877192983</v>
      </c>
    </row>
    <row r="672" spans="1:5" x14ac:dyDescent="0.2">
      <c r="A672" s="1" t="s">
        <v>37</v>
      </c>
      <c r="B672" s="1">
        <v>32</v>
      </c>
      <c r="C672" s="1" t="str">
        <f t="shared" si="10"/>
        <v>ענפי ייצור אחרים</v>
      </c>
      <c r="D672" s="1">
        <v>334</v>
      </c>
      <c r="E672" s="2">
        <v>11110.758323828528</v>
      </c>
    </row>
    <row r="673" spans="1:5" x14ac:dyDescent="0.2">
      <c r="A673" s="1" t="s">
        <v>37</v>
      </c>
      <c r="B673" s="1">
        <v>36</v>
      </c>
      <c r="C673" s="1" t="str">
        <f t="shared" si="10"/>
        <v>אגירת מים, טיפול ואספקה</v>
      </c>
      <c r="D673" s="1">
        <v>12</v>
      </c>
      <c r="E673" s="2">
        <v>14357.15376984127</v>
      </c>
    </row>
    <row r="674" spans="1:5" x14ac:dyDescent="0.2">
      <c r="A674" s="1" t="s">
        <v>37</v>
      </c>
      <c r="B674" s="1">
        <v>37</v>
      </c>
      <c r="C674" s="1" t="str">
        <f t="shared" si="10"/>
        <v>שירותי ביוב</v>
      </c>
      <c r="D674" s="1">
        <v>26</v>
      </c>
      <c r="E674" s="2">
        <v>14016.672918747918</v>
      </c>
    </row>
    <row r="675" spans="1:5" x14ac:dyDescent="0.2">
      <c r="A675" s="1" t="s">
        <v>37</v>
      </c>
      <c r="B675" s="1">
        <v>38</v>
      </c>
      <c r="C675" s="1" t="str">
        <f t="shared" si="10"/>
        <v>איסוף, טיפול וסילוק של אשפה ופסולת; מחזור (והשבה) של חומרים</v>
      </c>
      <c r="D675" s="1">
        <v>20</v>
      </c>
      <c r="E675" s="2">
        <v>7963.1872546897548</v>
      </c>
    </row>
    <row r="676" spans="1:5" x14ac:dyDescent="0.2">
      <c r="A676" s="1" t="s">
        <v>37</v>
      </c>
      <c r="B676" s="1">
        <v>41</v>
      </c>
      <c r="C676" s="1" t="str">
        <f t="shared" si="10"/>
        <v>בניית מבנים ובניינים</v>
      </c>
      <c r="D676" s="1">
        <v>76</v>
      </c>
      <c r="E676" s="2">
        <v>11792.993658388397</v>
      </c>
    </row>
    <row r="677" spans="1:5" x14ac:dyDescent="0.2">
      <c r="A677" s="1" t="s">
        <v>37</v>
      </c>
      <c r="B677" s="1">
        <v>42</v>
      </c>
      <c r="C677" s="1" t="str">
        <f t="shared" si="10"/>
        <v xml:space="preserve">עבודות הנדסה אזרחית </v>
      </c>
      <c r="D677" s="1">
        <v>33</v>
      </c>
      <c r="E677" s="2">
        <v>18285.485221260216</v>
      </c>
    </row>
    <row r="678" spans="1:5" x14ac:dyDescent="0.2">
      <c r="A678" s="1" t="s">
        <v>37</v>
      </c>
      <c r="B678" s="1">
        <v>43</v>
      </c>
      <c r="C678" s="1" t="str">
        <f t="shared" si="10"/>
        <v xml:space="preserve">עבודות בנייה מיוחדות </v>
      </c>
      <c r="D678" s="1">
        <v>124</v>
      </c>
      <c r="E678" s="2">
        <v>8465.7397305427548</v>
      </c>
    </row>
    <row r="679" spans="1:5" x14ac:dyDescent="0.2">
      <c r="A679" s="1" t="s">
        <v>37</v>
      </c>
      <c r="B679" s="1">
        <v>45</v>
      </c>
      <c r="C679" s="1" t="str">
        <f t="shared" si="10"/>
        <v>מסחר סיטוני וקמעוני בכלי רכב מנועיים ובאופנועים ותיקונם</v>
      </c>
      <c r="D679" s="1">
        <v>242</v>
      </c>
      <c r="E679" s="2">
        <v>10820.495140901334</v>
      </c>
    </row>
    <row r="680" spans="1:5" x14ac:dyDescent="0.2">
      <c r="A680" s="1" t="s">
        <v>37</v>
      </c>
      <c r="B680" s="1">
        <v>46</v>
      </c>
      <c r="C680" s="1" t="str">
        <f t="shared" si="10"/>
        <v>מסחר סיטוני, פרט לכלי רכב מנועיים ולאופנועים</v>
      </c>
      <c r="D680" s="1">
        <v>322</v>
      </c>
      <c r="E680" s="2">
        <v>10523.807124595549</v>
      </c>
    </row>
    <row r="681" spans="1:5" x14ac:dyDescent="0.2">
      <c r="A681" s="1" t="s">
        <v>37</v>
      </c>
      <c r="B681" s="1">
        <v>47</v>
      </c>
      <c r="C681" s="1" t="str">
        <f t="shared" si="10"/>
        <v>מכירה קמעונית, פרט לכלי רכב מנועיים ולאופנועים</v>
      </c>
      <c r="D681" s="1">
        <v>1150</v>
      </c>
      <c r="E681" s="2">
        <v>7258.7946530836271</v>
      </c>
    </row>
    <row r="682" spans="1:5" x14ac:dyDescent="0.2">
      <c r="A682" s="1" t="s">
        <v>37</v>
      </c>
      <c r="B682" s="1">
        <v>49</v>
      </c>
      <c r="C682" s="1" t="str">
        <f t="shared" si="10"/>
        <v>הובלה יבשתית והובלה באמצעות קווי צינורות</v>
      </c>
      <c r="D682" s="1">
        <v>291</v>
      </c>
      <c r="E682" s="2">
        <v>11448.622520864023</v>
      </c>
    </row>
    <row r="683" spans="1:5" x14ac:dyDescent="0.2">
      <c r="A683" s="1" t="s">
        <v>37</v>
      </c>
      <c r="B683" s="1">
        <v>52</v>
      </c>
      <c r="C683" s="1" t="str">
        <f t="shared" si="10"/>
        <v>אחסנה ושירותי עזר לתחבורה</v>
      </c>
      <c r="D683" s="1">
        <v>63</v>
      </c>
      <c r="E683" s="2">
        <v>10772.774791566457</v>
      </c>
    </row>
    <row r="684" spans="1:5" x14ac:dyDescent="0.2">
      <c r="A684" s="1" t="s">
        <v>37</v>
      </c>
      <c r="B684" s="1">
        <v>55</v>
      </c>
      <c r="C684" s="1" t="str">
        <f t="shared" si="10"/>
        <v>שירותי אירוח</v>
      </c>
      <c r="D684" s="1">
        <v>301</v>
      </c>
      <c r="E684" s="2">
        <v>6669.9555801249371</v>
      </c>
    </row>
    <row r="685" spans="1:5" x14ac:dyDescent="0.2">
      <c r="A685" s="1" t="s">
        <v>37</v>
      </c>
      <c r="B685" s="1">
        <v>56</v>
      </c>
      <c r="C685" s="1" t="str">
        <f t="shared" si="10"/>
        <v xml:space="preserve">שירותי מזון ומשקאות </v>
      </c>
      <c r="D685" s="1">
        <v>880</v>
      </c>
      <c r="E685" s="2">
        <v>5191.3436508756349</v>
      </c>
    </row>
    <row r="686" spans="1:5" x14ac:dyDescent="0.2">
      <c r="A686" s="1" t="s">
        <v>37</v>
      </c>
      <c r="B686" s="1">
        <v>61</v>
      </c>
      <c r="C686" s="1" t="str">
        <f t="shared" si="10"/>
        <v>שירותי תקשורת</v>
      </c>
      <c r="D686" s="1">
        <v>113</v>
      </c>
      <c r="E686" s="2">
        <v>8311.9227821834011</v>
      </c>
    </row>
    <row r="687" spans="1:5" x14ac:dyDescent="0.2">
      <c r="A687" s="1" t="s">
        <v>37</v>
      </c>
      <c r="B687" s="1">
        <v>62</v>
      </c>
      <c r="C687" s="1" t="str">
        <f t="shared" si="10"/>
        <v>תכנות מחשבים, ייעוץ בתחום המחשבים ושירותים נלווים אחרים</v>
      </c>
      <c r="D687" s="1">
        <v>213</v>
      </c>
      <c r="E687" s="2">
        <v>20366.029665874037</v>
      </c>
    </row>
    <row r="688" spans="1:5" x14ac:dyDescent="0.2">
      <c r="A688" s="1" t="s">
        <v>37</v>
      </c>
      <c r="B688" s="1">
        <v>64</v>
      </c>
      <c r="C688" s="1" t="str">
        <f t="shared" si="10"/>
        <v>שירותים פיננסיים, פרט לביטוח ולקרנות פנסיה</v>
      </c>
      <c r="D688" s="1">
        <v>184</v>
      </c>
      <c r="E688" s="2">
        <v>13496.638915945159</v>
      </c>
    </row>
    <row r="689" spans="1:5" x14ac:dyDescent="0.2">
      <c r="A689" s="1" t="s">
        <v>37</v>
      </c>
      <c r="B689" s="1">
        <v>68</v>
      </c>
      <c r="C689" s="1" t="str">
        <f t="shared" si="10"/>
        <v>פעילויות בנדל"ן</v>
      </c>
      <c r="D689" s="1">
        <v>73</v>
      </c>
      <c r="E689" s="2">
        <v>10606.611943802014</v>
      </c>
    </row>
    <row r="690" spans="1:5" x14ac:dyDescent="0.2">
      <c r="A690" s="1" t="s">
        <v>37</v>
      </c>
      <c r="B690" s="1">
        <v>69</v>
      </c>
      <c r="C690" s="1" t="str">
        <f t="shared" si="10"/>
        <v>שירותים משפטיים ושירותי חשבונאות</v>
      </c>
      <c r="D690" s="1">
        <v>90</v>
      </c>
      <c r="E690" s="2">
        <v>9097.5220065736739</v>
      </c>
    </row>
    <row r="691" spans="1:5" x14ac:dyDescent="0.2">
      <c r="A691" s="1" t="s">
        <v>37</v>
      </c>
      <c r="B691" s="1">
        <v>70</v>
      </c>
      <c r="C691" s="1" t="str">
        <f t="shared" si="10"/>
        <v>שירותי משרדים ראשיים; שירותי ייעוץ ניהולי</v>
      </c>
      <c r="D691" s="1">
        <v>93</v>
      </c>
      <c r="E691" s="2">
        <v>9900.069293162036</v>
      </c>
    </row>
    <row r="692" spans="1:5" x14ac:dyDescent="0.2">
      <c r="A692" s="1" t="s">
        <v>37</v>
      </c>
      <c r="B692" s="1">
        <v>71</v>
      </c>
      <c r="C692" s="1" t="str">
        <f t="shared" si="10"/>
        <v>שירותי אדריכלות והנדסה; בדיקות טכניות וניתוח נתונים טכניים</v>
      </c>
      <c r="D692" s="1">
        <v>74</v>
      </c>
      <c r="E692" s="2">
        <v>11422.409241059238</v>
      </c>
    </row>
    <row r="693" spans="1:5" x14ac:dyDescent="0.2">
      <c r="A693" s="1" t="s">
        <v>37</v>
      </c>
      <c r="B693" s="1">
        <v>72</v>
      </c>
      <c r="C693" s="1" t="str">
        <f t="shared" si="10"/>
        <v>מחקר מדעי ופיתוח</v>
      </c>
      <c r="D693" s="1">
        <v>106</v>
      </c>
      <c r="E693" s="2">
        <v>15129.756057202756</v>
      </c>
    </row>
    <row r="694" spans="1:5" x14ac:dyDescent="0.2">
      <c r="A694" s="1" t="s">
        <v>37</v>
      </c>
      <c r="B694" s="1">
        <v>73</v>
      </c>
      <c r="C694" s="1" t="str">
        <f t="shared" si="10"/>
        <v>פרסום וחקר שווקים</v>
      </c>
      <c r="D694" s="1">
        <v>93</v>
      </c>
      <c r="E694" s="2">
        <v>6343.2925832829069</v>
      </c>
    </row>
    <row r="695" spans="1:5" x14ac:dyDescent="0.2">
      <c r="A695" s="1" t="s">
        <v>37</v>
      </c>
      <c r="B695" s="1">
        <v>74</v>
      </c>
      <c r="C695" s="1" t="str">
        <f t="shared" si="10"/>
        <v>סוגים אחרים של שירותים מקצועיים, מדעיים וטכניים</v>
      </c>
      <c r="D695" s="1">
        <v>25</v>
      </c>
      <c r="E695" s="2">
        <v>8484.6064920634908</v>
      </c>
    </row>
    <row r="696" spans="1:5" x14ac:dyDescent="0.2">
      <c r="A696" s="1" t="s">
        <v>37</v>
      </c>
      <c r="B696" s="1">
        <v>75</v>
      </c>
      <c r="C696" s="1" t="str">
        <f t="shared" si="10"/>
        <v>שירותים וטרינריים</v>
      </c>
      <c r="D696" s="1">
        <v>19</v>
      </c>
      <c r="E696" s="2">
        <v>9452.4010138983831</v>
      </c>
    </row>
    <row r="697" spans="1:5" x14ac:dyDescent="0.2">
      <c r="A697" s="1" t="s">
        <v>37</v>
      </c>
      <c r="B697" s="1">
        <v>77</v>
      </c>
      <c r="C697" s="1" t="str">
        <f t="shared" si="10"/>
        <v>שירותי השכרה והחכרה</v>
      </c>
      <c r="D697" s="1">
        <v>30</v>
      </c>
      <c r="E697" s="2">
        <v>8195.7953607503605</v>
      </c>
    </row>
    <row r="698" spans="1:5" x14ac:dyDescent="0.2">
      <c r="A698" s="1" t="s">
        <v>37</v>
      </c>
      <c r="B698" s="1">
        <v>78</v>
      </c>
      <c r="C698" s="1" t="str">
        <f t="shared" si="10"/>
        <v>שירותי תעסוקה</v>
      </c>
      <c r="D698" s="1">
        <v>101</v>
      </c>
      <c r="E698" s="2">
        <v>5441.6719346934697</v>
      </c>
    </row>
    <row r="699" spans="1:5" x14ac:dyDescent="0.2">
      <c r="A699" s="1" t="s">
        <v>37</v>
      </c>
      <c r="B699" s="1">
        <v>79</v>
      </c>
      <c r="C699" s="1" t="str">
        <f t="shared" si="10"/>
        <v>פעילויות של סוכנויות נסיעות, מארגני טיולים, הזמנות ושירותים נלווים</v>
      </c>
      <c r="D699" s="1">
        <v>34</v>
      </c>
      <c r="E699" s="2">
        <v>8787.6039640098479</v>
      </c>
    </row>
    <row r="700" spans="1:5" x14ac:dyDescent="0.2">
      <c r="A700" s="1" t="s">
        <v>37</v>
      </c>
      <c r="B700" s="1">
        <v>80</v>
      </c>
      <c r="C700" s="1" t="str">
        <f t="shared" si="10"/>
        <v>שירותי שמירה, אבטחה וחקירה</v>
      </c>
      <c r="D700" s="1">
        <v>163</v>
      </c>
      <c r="E700" s="2">
        <v>7325.58765525545</v>
      </c>
    </row>
    <row r="701" spans="1:5" x14ac:dyDescent="0.2">
      <c r="A701" s="1" t="s">
        <v>37</v>
      </c>
      <c r="B701" s="1">
        <v>81</v>
      </c>
      <c r="C701" s="1" t="str">
        <f t="shared" si="10"/>
        <v>שירותי תחזוקה לבניינים ועבודות גינון</v>
      </c>
      <c r="D701" s="1">
        <v>230</v>
      </c>
      <c r="E701" s="2">
        <v>5344.0875779534472</v>
      </c>
    </row>
    <row r="702" spans="1:5" x14ac:dyDescent="0.2">
      <c r="A702" s="1" t="s">
        <v>37</v>
      </c>
      <c r="B702" s="1">
        <v>82</v>
      </c>
      <c r="C702" s="1" t="str">
        <f t="shared" si="10"/>
        <v>שירותי ניהול ותמיכה למשרדים ולעסקים</v>
      </c>
      <c r="D702" s="1">
        <v>203</v>
      </c>
      <c r="E702" s="2">
        <v>7124.8722487009445</v>
      </c>
    </row>
    <row r="703" spans="1:5" x14ac:dyDescent="0.2">
      <c r="A703" s="1" t="s">
        <v>37</v>
      </c>
      <c r="B703" s="1">
        <v>83</v>
      </c>
      <c r="C703" s="1" t="str">
        <f t="shared" si="10"/>
        <v>מינהל מקומי</v>
      </c>
      <c r="D703" s="1">
        <v>584</v>
      </c>
      <c r="E703" s="2">
        <v>9550.5395948229925</v>
      </c>
    </row>
    <row r="704" spans="1:5" x14ac:dyDescent="0.2">
      <c r="A704" s="1" t="s">
        <v>37</v>
      </c>
      <c r="B704" s="1">
        <v>84</v>
      </c>
      <c r="C704" s="1" t="str">
        <f t="shared" si="10"/>
        <v>מינהל ציבורי וביטחון; ביטוח לאומי חובה</v>
      </c>
      <c r="D704" s="1">
        <v>113</v>
      </c>
      <c r="E704" s="2">
        <v>16657.348704171931</v>
      </c>
    </row>
    <row r="705" spans="1:5" x14ac:dyDescent="0.2">
      <c r="A705" s="1" t="s">
        <v>37</v>
      </c>
      <c r="B705" s="1">
        <v>85</v>
      </c>
      <c r="C705" s="1" t="str">
        <f t="shared" si="10"/>
        <v>חינוך</v>
      </c>
      <c r="D705" s="1">
        <v>1114</v>
      </c>
      <c r="E705" s="2">
        <v>9771.6609376983342</v>
      </c>
    </row>
    <row r="706" spans="1:5" x14ac:dyDescent="0.2">
      <c r="A706" s="1" t="s">
        <v>37</v>
      </c>
      <c r="B706" s="1">
        <v>86</v>
      </c>
      <c r="C706" s="1" t="str">
        <f t="shared" si="10"/>
        <v>שירותי בריאות</v>
      </c>
      <c r="D706" s="1">
        <v>192</v>
      </c>
      <c r="E706" s="2">
        <v>11032.029688251563</v>
      </c>
    </row>
    <row r="707" spans="1:5" x14ac:dyDescent="0.2">
      <c r="A707" s="1" t="s">
        <v>37</v>
      </c>
      <c r="B707" s="1">
        <v>87</v>
      </c>
      <c r="C707" s="1" t="str">
        <f t="shared" ref="C707:C746" si="11">INDEX(L:L,MATCH(B707,K:K,0))</f>
        <v>מגורים טיפוליים</v>
      </c>
      <c r="D707" s="1">
        <v>33</v>
      </c>
      <c r="E707" s="2">
        <v>8814.6989658489656</v>
      </c>
    </row>
    <row r="708" spans="1:5" x14ac:dyDescent="0.2">
      <c r="A708" s="1" t="s">
        <v>37</v>
      </c>
      <c r="B708" s="1">
        <v>88</v>
      </c>
      <c r="C708" s="1" t="str">
        <f t="shared" si="11"/>
        <v>שירותי רווחה וסעד ללא מגורים</v>
      </c>
      <c r="D708" s="1">
        <v>829</v>
      </c>
      <c r="E708" s="2">
        <v>4172.2585745878596</v>
      </c>
    </row>
    <row r="709" spans="1:5" x14ac:dyDescent="0.2">
      <c r="A709" s="1" t="s">
        <v>37</v>
      </c>
      <c r="B709" s="1">
        <v>90</v>
      </c>
      <c r="C709" s="1" t="str">
        <f t="shared" si="11"/>
        <v>יצירה, אמנות ובידור</v>
      </c>
      <c r="D709" s="1">
        <v>18</v>
      </c>
      <c r="E709" s="2">
        <v>5426.4711700336693</v>
      </c>
    </row>
    <row r="710" spans="1:5" x14ac:dyDescent="0.2">
      <c r="A710" s="1" t="s">
        <v>37</v>
      </c>
      <c r="B710" s="1">
        <v>91</v>
      </c>
      <c r="C710" s="1" t="str">
        <f t="shared" si="11"/>
        <v>הפעלת ספריות, ארכיונים, מוזאונים ופעילויות תרבות אחרות</v>
      </c>
      <c r="D710" s="1">
        <v>40</v>
      </c>
      <c r="E710" s="2">
        <v>8612.85929112554</v>
      </c>
    </row>
    <row r="711" spans="1:5" x14ac:dyDescent="0.2">
      <c r="A711" s="1" t="s">
        <v>37</v>
      </c>
      <c r="B711" s="1">
        <v>93</v>
      </c>
      <c r="C711" s="1" t="str">
        <f t="shared" si="11"/>
        <v>פעילויות ספורט, בילוי ופנאי</v>
      </c>
      <c r="D711" s="1">
        <v>233</v>
      </c>
      <c r="E711" s="2">
        <v>6132.519769274596</v>
      </c>
    </row>
    <row r="712" spans="1:5" x14ac:dyDescent="0.2">
      <c r="A712" s="1" t="s">
        <v>37</v>
      </c>
      <c r="B712" s="1">
        <v>94</v>
      </c>
      <c r="C712" s="1" t="str">
        <f t="shared" si="11"/>
        <v>פעילויות של ארגוני חברים</v>
      </c>
      <c r="D712" s="1">
        <v>258</v>
      </c>
      <c r="E712" s="2">
        <v>6213.0312855856455</v>
      </c>
    </row>
    <row r="713" spans="1:5" x14ac:dyDescent="0.2">
      <c r="A713" s="1" t="s">
        <v>37</v>
      </c>
      <c r="B713" s="1">
        <v>95</v>
      </c>
      <c r="C713" s="1" t="str">
        <f t="shared" si="11"/>
        <v>תיקון של מחשבים, ציוד אישי וציוד לבית</v>
      </c>
      <c r="D713" s="1">
        <v>10</v>
      </c>
      <c r="E713" s="2">
        <v>7795.5238888888898</v>
      </c>
    </row>
    <row r="714" spans="1:5" x14ac:dyDescent="0.2">
      <c r="A714" s="1" t="s">
        <v>37</v>
      </c>
      <c r="B714" s="1">
        <v>96</v>
      </c>
      <c r="C714" s="1" t="str">
        <f t="shared" si="11"/>
        <v>שירותים אישיים אחרים</v>
      </c>
      <c r="D714" s="1">
        <v>46</v>
      </c>
      <c r="E714" s="2">
        <v>7402.9306331953094</v>
      </c>
    </row>
    <row r="715" spans="1:5" x14ac:dyDescent="0.2">
      <c r="A715" s="1" t="s">
        <v>38</v>
      </c>
      <c r="B715" s="1">
        <v>1</v>
      </c>
      <c r="C715" s="1" t="str">
        <f t="shared" si="11"/>
        <v>גידולים צמחיים</v>
      </c>
      <c r="D715" s="1">
        <v>53</v>
      </c>
      <c r="E715" s="2">
        <v>8040.4829882381764</v>
      </c>
    </row>
    <row r="716" spans="1:5" x14ac:dyDescent="0.2">
      <c r="A716" s="1" t="s">
        <v>38</v>
      </c>
      <c r="B716" s="1">
        <v>10</v>
      </c>
      <c r="C716" s="1" t="str">
        <f t="shared" si="11"/>
        <v>ייצור מוצרי מזון</v>
      </c>
      <c r="D716" s="1">
        <v>18</v>
      </c>
      <c r="E716" s="2">
        <v>17761.364197530864</v>
      </c>
    </row>
    <row r="717" spans="1:5" x14ac:dyDescent="0.2">
      <c r="A717" s="1" t="s">
        <v>38</v>
      </c>
      <c r="B717" s="1">
        <v>11</v>
      </c>
      <c r="C717" s="1" t="str">
        <f t="shared" si="11"/>
        <v>ייצור משקאות</v>
      </c>
      <c r="D717" s="1">
        <v>14</v>
      </c>
      <c r="E717" s="2">
        <v>14841.125</v>
      </c>
    </row>
    <row r="718" spans="1:5" x14ac:dyDescent="0.2">
      <c r="A718" s="1" t="s">
        <v>38</v>
      </c>
      <c r="B718" s="1">
        <v>26</v>
      </c>
      <c r="C718" s="1" t="str">
        <f t="shared" si="11"/>
        <v>ייצור מחשבים, מכשור אלקטרוני ואופטי</v>
      </c>
      <c r="D718" s="1">
        <v>10</v>
      </c>
      <c r="E718" s="2">
        <v>22156.356666666667</v>
      </c>
    </row>
    <row r="719" spans="1:5" x14ac:dyDescent="0.2">
      <c r="A719" s="1" t="s">
        <v>38</v>
      </c>
      <c r="B719" s="1">
        <v>41</v>
      </c>
      <c r="C719" s="1" t="str">
        <f t="shared" si="11"/>
        <v>בניית מבנים ובניינים</v>
      </c>
      <c r="D719" s="1">
        <v>24</v>
      </c>
      <c r="E719" s="2">
        <v>13182.817117604622</v>
      </c>
    </row>
    <row r="720" spans="1:5" x14ac:dyDescent="0.2">
      <c r="A720" s="1" t="s">
        <v>38</v>
      </c>
      <c r="B720" s="1">
        <v>43</v>
      </c>
      <c r="C720" s="1" t="str">
        <f t="shared" si="11"/>
        <v xml:space="preserve">עבודות בנייה מיוחדות </v>
      </c>
      <c r="D720" s="1">
        <v>28</v>
      </c>
      <c r="E720" s="2">
        <v>13565.689393939396</v>
      </c>
    </row>
    <row r="721" spans="1:5" x14ac:dyDescent="0.2">
      <c r="A721" s="1" t="s">
        <v>38</v>
      </c>
      <c r="B721" s="1">
        <v>45</v>
      </c>
      <c r="C721" s="1" t="str">
        <f t="shared" si="11"/>
        <v>מסחר סיטוני וקמעוני בכלי רכב מנועיים ובאופנועים ותיקונם</v>
      </c>
      <c r="D721" s="1">
        <v>12</v>
      </c>
      <c r="E721" s="2">
        <v>15877.340277777779</v>
      </c>
    </row>
    <row r="722" spans="1:5" x14ac:dyDescent="0.2">
      <c r="A722" s="1" t="s">
        <v>38</v>
      </c>
      <c r="B722" s="1">
        <v>46</v>
      </c>
      <c r="C722" s="1" t="str">
        <f t="shared" si="11"/>
        <v>מסחר סיטוני, פרט לכלי רכב מנועיים ולאופנועים</v>
      </c>
      <c r="D722" s="1">
        <v>46</v>
      </c>
      <c r="E722" s="2">
        <v>15398.926935504109</v>
      </c>
    </row>
    <row r="723" spans="1:5" x14ac:dyDescent="0.2">
      <c r="A723" s="1" t="s">
        <v>38</v>
      </c>
      <c r="B723" s="1">
        <v>47</v>
      </c>
      <c r="C723" s="1" t="str">
        <f t="shared" si="11"/>
        <v>מכירה קמעונית, פרט לכלי רכב מנועיים ולאופנועים</v>
      </c>
      <c r="D723" s="1">
        <v>96</v>
      </c>
      <c r="E723" s="2">
        <v>7352.3962061087032</v>
      </c>
    </row>
    <row r="724" spans="1:5" x14ac:dyDescent="0.2">
      <c r="A724" s="1" t="s">
        <v>38</v>
      </c>
      <c r="B724" s="1">
        <v>49</v>
      </c>
      <c r="C724" s="1" t="str">
        <f t="shared" si="11"/>
        <v>הובלה יבשתית והובלה באמצעות קווי צינורות</v>
      </c>
      <c r="D724" s="1">
        <v>29</v>
      </c>
      <c r="E724" s="2">
        <v>12042.324939045631</v>
      </c>
    </row>
    <row r="725" spans="1:5" x14ac:dyDescent="0.2">
      <c r="A725" s="1" t="s">
        <v>38</v>
      </c>
      <c r="B725" s="1">
        <v>55</v>
      </c>
      <c r="C725" s="1" t="str">
        <f t="shared" si="11"/>
        <v>שירותי אירוח</v>
      </c>
      <c r="D725" s="1">
        <v>56</v>
      </c>
      <c r="E725" s="2">
        <v>7981.2967416512047</v>
      </c>
    </row>
    <row r="726" spans="1:5" x14ac:dyDescent="0.2">
      <c r="A726" s="1" t="s">
        <v>38</v>
      </c>
      <c r="B726" s="1">
        <v>56</v>
      </c>
      <c r="C726" s="1" t="str">
        <f t="shared" si="11"/>
        <v xml:space="preserve">שירותי מזון ומשקאות </v>
      </c>
      <c r="D726" s="1">
        <v>180</v>
      </c>
      <c r="E726" s="2">
        <v>5229.8728493265999</v>
      </c>
    </row>
    <row r="727" spans="1:5" x14ac:dyDescent="0.2">
      <c r="A727" s="1" t="s">
        <v>38</v>
      </c>
      <c r="B727" s="1">
        <v>62</v>
      </c>
      <c r="C727" s="1" t="str">
        <f t="shared" si="11"/>
        <v>תכנות מחשבים, ייעוץ בתחום המחשבים ושירותים נלווים אחרים</v>
      </c>
      <c r="D727" s="1">
        <v>44</v>
      </c>
      <c r="E727" s="2">
        <v>22847.384218811498</v>
      </c>
    </row>
    <row r="728" spans="1:5" x14ac:dyDescent="0.2">
      <c r="A728" s="1" t="s">
        <v>38</v>
      </c>
      <c r="B728" s="1">
        <v>64</v>
      </c>
      <c r="C728" s="1" t="str">
        <f t="shared" si="11"/>
        <v>שירותים פיננסיים, פרט לביטוח ולקרנות פנסיה</v>
      </c>
      <c r="D728" s="1">
        <v>28</v>
      </c>
      <c r="E728" s="2">
        <v>21876.401573129253</v>
      </c>
    </row>
    <row r="729" spans="1:5" x14ac:dyDescent="0.2">
      <c r="A729" s="1" t="s">
        <v>38</v>
      </c>
      <c r="B729" s="1">
        <v>68</v>
      </c>
      <c r="C729" s="1" t="str">
        <f t="shared" si="11"/>
        <v>פעילויות בנדל"ן</v>
      </c>
      <c r="D729" s="1">
        <v>16</v>
      </c>
      <c r="E729" s="2">
        <v>10297.24449179293</v>
      </c>
    </row>
    <row r="730" spans="1:5" x14ac:dyDescent="0.2">
      <c r="A730" s="1" t="s">
        <v>38</v>
      </c>
      <c r="B730" s="1">
        <v>69</v>
      </c>
      <c r="C730" s="1" t="str">
        <f t="shared" si="11"/>
        <v>שירותים משפטיים ושירותי חשבונאות</v>
      </c>
      <c r="D730" s="1">
        <v>28</v>
      </c>
      <c r="E730" s="2">
        <v>12986.855555555556</v>
      </c>
    </row>
    <row r="731" spans="1:5" x14ac:dyDescent="0.2">
      <c r="A731" s="1" t="s">
        <v>38</v>
      </c>
      <c r="B731" s="1">
        <v>71</v>
      </c>
      <c r="C731" s="1" t="str">
        <f t="shared" si="11"/>
        <v>שירותי אדריכלות והנדסה; בדיקות טכניות וניתוח נתונים טכניים</v>
      </c>
      <c r="D731" s="1">
        <v>16</v>
      </c>
      <c r="E731" s="2">
        <v>16572.06889204546</v>
      </c>
    </row>
    <row r="732" spans="1:5" x14ac:dyDescent="0.2">
      <c r="A732" s="1" t="s">
        <v>38</v>
      </c>
      <c r="B732" s="1">
        <v>72</v>
      </c>
      <c r="C732" s="1" t="str">
        <f t="shared" si="11"/>
        <v>מחקר מדעי ופיתוח</v>
      </c>
      <c r="D732" s="1">
        <v>24</v>
      </c>
      <c r="E732" s="2">
        <v>20094.596311327561</v>
      </c>
    </row>
    <row r="733" spans="1:5" x14ac:dyDescent="0.2">
      <c r="A733" s="1" t="s">
        <v>38</v>
      </c>
      <c r="B733" s="1">
        <v>78</v>
      </c>
      <c r="C733" s="1" t="str">
        <f t="shared" si="11"/>
        <v>שירותי תעסוקה</v>
      </c>
      <c r="D733" s="1">
        <v>15</v>
      </c>
      <c r="E733" s="2">
        <v>9032.6444444444442</v>
      </c>
    </row>
    <row r="734" spans="1:5" x14ac:dyDescent="0.2">
      <c r="A734" s="1" t="s">
        <v>38</v>
      </c>
      <c r="B734" s="1">
        <v>79</v>
      </c>
      <c r="C734" s="1" t="str">
        <f t="shared" si="11"/>
        <v>פעילויות של סוכנויות נסיעות, מארגני טיולים, הזמנות ושירותים נלווים</v>
      </c>
      <c r="D734" s="1">
        <v>10</v>
      </c>
      <c r="E734" s="2">
        <v>6965.3097619047621</v>
      </c>
    </row>
    <row r="735" spans="1:5" x14ac:dyDescent="0.2">
      <c r="A735" s="1" t="s">
        <v>38</v>
      </c>
      <c r="B735" s="1">
        <v>80</v>
      </c>
      <c r="C735" s="1" t="str">
        <f t="shared" si="11"/>
        <v>שירותי שמירה, אבטחה וחקירה</v>
      </c>
      <c r="D735" s="1">
        <v>14</v>
      </c>
      <c r="E735" s="2">
        <v>7534.2876417233556</v>
      </c>
    </row>
    <row r="736" spans="1:5" x14ac:dyDescent="0.2">
      <c r="A736" s="1" t="s">
        <v>38</v>
      </c>
      <c r="B736" s="1">
        <v>81</v>
      </c>
      <c r="C736" s="1" t="str">
        <f t="shared" si="11"/>
        <v>שירותי תחזוקה לבניינים ועבודות גינון</v>
      </c>
      <c r="D736" s="1">
        <v>14</v>
      </c>
      <c r="E736" s="2">
        <v>11865.871820243246</v>
      </c>
    </row>
    <row r="737" spans="1:5" x14ac:dyDescent="0.2">
      <c r="A737" s="1" t="s">
        <v>38</v>
      </c>
      <c r="B737" s="1">
        <v>82</v>
      </c>
      <c r="C737" s="1" t="str">
        <f t="shared" si="11"/>
        <v>שירותי ניהול ותמיכה למשרדים ולעסקים</v>
      </c>
      <c r="D737" s="1">
        <v>19</v>
      </c>
      <c r="E737" s="2">
        <v>8064.3239766081861</v>
      </c>
    </row>
    <row r="738" spans="1:5" x14ac:dyDescent="0.2">
      <c r="A738" s="1" t="s">
        <v>38</v>
      </c>
      <c r="B738" s="1">
        <v>83</v>
      </c>
      <c r="C738" s="1" t="str">
        <f t="shared" si="11"/>
        <v>מינהל מקומי</v>
      </c>
      <c r="D738" s="1">
        <v>96</v>
      </c>
      <c r="E738" s="2">
        <v>8981.4554108796328</v>
      </c>
    </row>
    <row r="739" spans="1:5" x14ac:dyDescent="0.2">
      <c r="A739" s="1" t="s">
        <v>38</v>
      </c>
      <c r="B739" s="1">
        <v>84</v>
      </c>
      <c r="C739" s="1" t="str">
        <f t="shared" si="11"/>
        <v>מינהל ציבורי וביטחון; ביטוח לאומי חובה</v>
      </c>
      <c r="D739" s="1">
        <v>61</v>
      </c>
      <c r="E739" s="2">
        <v>29103.676933267096</v>
      </c>
    </row>
    <row r="740" spans="1:5" x14ac:dyDescent="0.2">
      <c r="A740" s="1" t="s">
        <v>38</v>
      </c>
      <c r="B740" s="1">
        <v>85</v>
      </c>
      <c r="C740" s="1" t="str">
        <f t="shared" si="11"/>
        <v>חינוך</v>
      </c>
      <c r="D740" s="1">
        <v>182</v>
      </c>
      <c r="E740" s="2">
        <v>12380.686547975836</v>
      </c>
    </row>
    <row r="741" spans="1:5" x14ac:dyDescent="0.2">
      <c r="A741" s="1" t="s">
        <v>38</v>
      </c>
      <c r="B741" s="1">
        <v>86</v>
      </c>
      <c r="C741" s="1" t="str">
        <f t="shared" si="11"/>
        <v>שירותי בריאות</v>
      </c>
      <c r="D741" s="1">
        <v>58</v>
      </c>
      <c r="E741" s="2">
        <v>13555.236352440661</v>
      </c>
    </row>
    <row r="742" spans="1:5" x14ac:dyDescent="0.2">
      <c r="A742" s="1" t="s">
        <v>38</v>
      </c>
      <c r="B742" s="1">
        <v>88</v>
      </c>
      <c r="C742" s="1" t="str">
        <f t="shared" si="11"/>
        <v>שירותי רווחה וסעד ללא מגורים</v>
      </c>
      <c r="D742" s="1">
        <v>63</v>
      </c>
      <c r="E742" s="2">
        <v>5122.1216644907117</v>
      </c>
    </row>
    <row r="743" spans="1:5" x14ac:dyDescent="0.2">
      <c r="A743" s="1" t="s">
        <v>38</v>
      </c>
      <c r="B743" s="1">
        <v>90</v>
      </c>
      <c r="C743" s="1" t="str">
        <f t="shared" si="11"/>
        <v>יצירה, אמנות ובידור</v>
      </c>
      <c r="D743" s="1">
        <v>18</v>
      </c>
      <c r="E743" s="2">
        <v>6123.121188071189</v>
      </c>
    </row>
    <row r="744" spans="1:5" x14ac:dyDescent="0.2">
      <c r="A744" s="1" t="s">
        <v>38</v>
      </c>
      <c r="B744" s="1">
        <v>91</v>
      </c>
      <c r="C744" s="1" t="str">
        <f t="shared" si="11"/>
        <v>הפעלת ספריות, ארכיונים, מוזאונים ופעילויות תרבות אחרות</v>
      </c>
      <c r="D744" s="1">
        <v>12</v>
      </c>
      <c r="E744" s="2">
        <v>11848.700487012988</v>
      </c>
    </row>
    <row r="745" spans="1:5" x14ac:dyDescent="0.2">
      <c r="A745" s="1" t="s">
        <v>38</v>
      </c>
      <c r="B745" s="1">
        <v>93</v>
      </c>
      <c r="C745" s="1" t="str">
        <f t="shared" si="11"/>
        <v>פעילויות ספורט, בילוי ופנאי</v>
      </c>
      <c r="D745" s="1">
        <v>14</v>
      </c>
      <c r="E745" s="2">
        <v>10892.87564935065</v>
      </c>
    </row>
    <row r="746" spans="1:5" x14ac:dyDescent="0.2">
      <c r="A746" s="1" t="s">
        <v>38</v>
      </c>
      <c r="B746" s="1">
        <v>94</v>
      </c>
      <c r="C746" s="1" t="str">
        <f t="shared" si="11"/>
        <v>פעילויות של ארגוני חברים</v>
      </c>
      <c r="D746" s="1">
        <v>68</v>
      </c>
      <c r="E746" s="2">
        <v>6819.2250806383163</v>
      </c>
    </row>
  </sheetData>
  <pageMargins left="0.75" right="0.75" top="1" bottom="1" header="0.5" footer="0.5"/>
  <headerFooter alignWithMargins="0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ADDB-7164-4A8E-A87E-2AEDFF252A80}">
  <sheetPr>
    <tabColor rgb="FFFFFF00"/>
  </sheetPr>
  <dimension ref="A4:C6"/>
  <sheetViews>
    <sheetView zoomScale="101" workbookViewId="0">
      <selection activeCell="B5" sqref="B5"/>
    </sheetView>
  </sheetViews>
  <sheetFormatPr defaultRowHeight="12.75" x14ac:dyDescent="0.2"/>
  <cols>
    <col min="1" max="1" width="15" bestFit="1" customWidth="1"/>
    <col min="2" max="2" width="26.85546875" bestFit="1" customWidth="1"/>
    <col min="3" max="3" width="19.42578125" bestFit="1" customWidth="1"/>
    <col min="4" max="4" width="16.140625" bestFit="1" customWidth="1"/>
    <col min="5" max="19" width="14" bestFit="1" customWidth="1"/>
    <col min="20" max="20" width="12" bestFit="1" customWidth="1"/>
    <col min="21" max="44" width="14" bestFit="1" customWidth="1"/>
    <col min="45" max="45" width="12.7109375" bestFit="1" customWidth="1"/>
    <col min="46" max="66" width="14" bestFit="1" customWidth="1"/>
    <col min="67" max="67" width="5.85546875" bestFit="1" customWidth="1"/>
    <col min="68" max="68" width="14" bestFit="1" customWidth="1"/>
    <col min="69" max="69" width="26.28515625" bestFit="1" customWidth="1"/>
    <col min="70" max="70" width="22.28515625" bestFit="1" customWidth="1"/>
    <col min="71" max="71" width="26.28515625" bestFit="1" customWidth="1"/>
    <col min="72" max="72" width="22.28515625" bestFit="1" customWidth="1"/>
    <col min="73" max="73" width="26.28515625" bestFit="1" customWidth="1"/>
    <col min="74" max="74" width="22.28515625" bestFit="1" customWidth="1"/>
    <col min="75" max="75" width="26.28515625" bestFit="1" customWidth="1"/>
    <col min="76" max="76" width="22.28515625" bestFit="1" customWidth="1"/>
    <col min="77" max="77" width="26.28515625" bestFit="1" customWidth="1"/>
    <col min="78" max="78" width="22.28515625" bestFit="1" customWidth="1"/>
    <col min="79" max="79" width="26.28515625" bestFit="1" customWidth="1"/>
    <col min="80" max="80" width="22.28515625" bestFit="1" customWidth="1"/>
    <col min="81" max="81" width="26.28515625" bestFit="1" customWidth="1"/>
    <col min="82" max="82" width="22.28515625" bestFit="1" customWidth="1"/>
    <col min="83" max="83" width="26.28515625" bestFit="1" customWidth="1"/>
    <col min="84" max="84" width="22.28515625" bestFit="1" customWidth="1"/>
    <col min="85" max="85" width="26.28515625" bestFit="1" customWidth="1"/>
    <col min="86" max="86" width="22.28515625" bestFit="1" customWidth="1"/>
    <col min="87" max="87" width="26.28515625" bestFit="1" customWidth="1"/>
    <col min="88" max="88" width="22.28515625" bestFit="1" customWidth="1"/>
    <col min="89" max="89" width="26.28515625" bestFit="1" customWidth="1"/>
    <col min="90" max="90" width="22.28515625" bestFit="1" customWidth="1"/>
    <col min="91" max="91" width="26.28515625" bestFit="1" customWidth="1"/>
    <col min="92" max="92" width="22.28515625" bestFit="1" customWidth="1"/>
    <col min="93" max="93" width="26.28515625" bestFit="1" customWidth="1"/>
    <col min="94" max="94" width="22.28515625" bestFit="1" customWidth="1"/>
    <col min="95" max="95" width="26.28515625" bestFit="1" customWidth="1"/>
    <col min="96" max="96" width="22.28515625" bestFit="1" customWidth="1"/>
    <col min="97" max="97" width="26.28515625" bestFit="1" customWidth="1"/>
    <col min="98" max="98" width="22.28515625" bestFit="1" customWidth="1"/>
    <col min="99" max="99" width="26.28515625" bestFit="1" customWidth="1"/>
    <col min="100" max="100" width="22.28515625" bestFit="1" customWidth="1"/>
    <col min="101" max="101" width="26.28515625" bestFit="1" customWidth="1"/>
    <col min="102" max="102" width="22.28515625" bestFit="1" customWidth="1"/>
    <col min="103" max="103" width="26.28515625" bestFit="1" customWidth="1"/>
    <col min="104" max="104" width="22.28515625" bestFit="1" customWidth="1"/>
    <col min="105" max="105" width="26.28515625" bestFit="1" customWidth="1"/>
    <col min="106" max="106" width="22.28515625" bestFit="1" customWidth="1"/>
    <col min="107" max="107" width="26.28515625" bestFit="1" customWidth="1"/>
    <col min="108" max="108" width="22.28515625" bestFit="1" customWidth="1"/>
    <col min="109" max="109" width="26.28515625" bestFit="1" customWidth="1"/>
    <col min="110" max="110" width="22.28515625" bestFit="1" customWidth="1"/>
    <col min="111" max="111" width="26.28515625" bestFit="1" customWidth="1"/>
    <col min="112" max="112" width="22.28515625" bestFit="1" customWidth="1"/>
    <col min="113" max="113" width="26.28515625" bestFit="1" customWidth="1"/>
    <col min="114" max="114" width="22.28515625" bestFit="1" customWidth="1"/>
    <col min="115" max="115" width="26.28515625" bestFit="1" customWidth="1"/>
    <col min="116" max="116" width="22.28515625" bestFit="1" customWidth="1"/>
    <col min="117" max="117" width="26.28515625" bestFit="1" customWidth="1"/>
    <col min="118" max="118" width="22.28515625" bestFit="1" customWidth="1"/>
    <col min="119" max="119" width="26.28515625" bestFit="1" customWidth="1"/>
    <col min="120" max="120" width="22.28515625" bestFit="1" customWidth="1"/>
    <col min="121" max="121" width="26.28515625" bestFit="1" customWidth="1"/>
    <col min="122" max="122" width="22.28515625" bestFit="1" customWidth="1"/>
    <col min="123" max="123" width="26.28515625" bestFit="1" customWidth="1"/>
    <col min="124" max="124" width="22.28515625" bestFit="1" customWidth="1"/>
    <col min="125" max="125" width="26.28515625" bestFit="1" customWidth="1"/>
    <col min="126" max="126" width="22.28515625" bestFit="1" customWidth="1"/>
    <col min="127" max="127" width="26.28515625" bestFit="1" customWidth="1"/>
    <col min="128" max="128" width="22.28515625" bestFit="1" customWidth="1"/>
    <col min="129" max="129" width="26.28515625" bestFit="1" customWidth="1"/>
    <col min="130" max="130" width="22.28515625" bestFit="1" customWidth="1"/>
    <col min="131" max="131" width="26.28515625" bestFit="1" customWidth="1"/>
    <col min="132" max="132" width="22.28515625" bestFit="1" customWidth="1"/>
    <col min="133" max="133" width="26.28515625" bestFit="1" customWidth="1"/>
    <col min="134" max="134" width="30" bestFit="1" customWidth="1"/>
    <col min="135" max="135" width="34" bestFit="1" customWidth="1"/>
  </cols>
  <sheetData>
    <row r="4" spans="1:3" x14ac:dyDescent="0.2">
      <c r="A4" s="14" t="s">
        <v>192</v>
      </c>
      <c r="B4" t="s">
        <v>196</v>
      </c>
      <c r="C4" t="s">
        <v>195</v>
      </c>
    </row>
    <row r="5" spans="1:3" x14ac:dyDescent="0.2">
      <c r="A5" s="25" t="s">
        <v>23</v>
      </c>
      <c r="B5" s="29">
        <v>13122.926749060098</v>
      </c>
      <c r="C5" s="29">
        <v>8547</v>
      </c>
    </row>
    <row r="6" spans="1:3" x14ac:dyDescent="0.2">
      <c r="A6" s="25" t="s">
        <v>194</v>
      </c>
      <c r="B6" s="29">
        <v>13122.926749060098</v>
      </c>
      <c r="C6" s="29">
        <v>8547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6"/>
  <sheetViews>
    <sheetView tabSelected="1" zoomScale="68" zoomScaleNormal="100" workbookViewId="0">
      <selection activeCell="J4" sqref="J4:K4"/>
    </sheetView>
  </sheetViews>
  <sheetFormatPr defaultRowHeight="14.25" x14ac:dyDescent="0.2"/>
  <cols>
    <col min="1" max="1" width="27.7109375" style="1" bestFit="1" customWidth="1"/>
    <col min="2" max="2" width="9.28515625" style="1" bestFit="1" customWidth="1"/>
    <col min="3" max="3" width="12" style="1" bestFit="1" customWidth="1"/>
    <col min="4" max="4" width="16.28515625" style="2" bestFit="1" customWidth="1"/>
    <col min="10" max="10" width="27.7109375" style="1" bestFit="1" customWidth="1"/>
    <col min="12" max="12" width="9.140625" customWidth="1"/>
    <col min="13" max="13" width="16.28515625" bestFit="1" customWidth="1"/>
    <col min="14" max="14" width="26.85546875" bestFit="1" customWidth="1"/>
    <col min="15" max="15" width="21" bestFit="1" customWidth="1"/>
    <col min="16" max="16" width="28.28515625" bestFit="1" customWidth="1"/>
  </cols>
  <sheetData>
    <row r="1" spans="1:21" ht="15" x14ac:dyDescent="0.25">
      <c r="A1" s="3" t="s">
        <v>0</v>
      </c>
      <c r="B1" s="3" t="s">
        <v>49</v>
      </c>
      <c r="C1" s="3" t="s">
        <v>50</v>
      </c>
      <c r="D1" s="4" t="s">
        <v>51</v>
      </c>
      <c r="J1" s="3"/>
      <c r="N1" s="14" t="s">
        <v>0</v>
      </c>
      <c r="O1" t="s">
        <v>36</v>
      </c>
    </row>
    <row r="2" spans="1:21" x14ac:dyDescent="0.2">
      <c r="A2" s="1" t="s">
        <v>1</v>
      </c>
      <c r="B2" s="1" t="s">
        <v>2</v>
      </c>
      <c r="C2" s="1">
        <v>34</v>
      </c>
      <c r="D2" s="2">
        <v>15437.083333333334</v>
      </c>
    </row>
    <row r="3" spans="1:21" x14ac:dyDescent="0.2">
      <c r="A3" s="1" t="s">
        <v>1</v>
      </c>
      <c r="B3" s="1" t="s">
        <v>3</v>
      </c>
      <c r="C3" s="1">
        <v>304</v>
      </c>
      <c r="D3" s="2">
        <v>5914.704422277282</v>
      </c>
      <c r="M3" t="s">
        <v>78</v>
      </c>
      <c r="N3" s="14" t="s">
        <v>192</v>
      </c>
      <c r="O3" t="s">
        <v>195</v>
      </c>
      <c r="P3" t="s">
        <v>196</v>
      </c>
    </row>
    <row r="4" spans="1:21" x14ac:dyDescent="0.2">
      <c r="A4" s="1" t="s">
        <v>1</v>
      </c>
      <c r="B4" s="1" t="s">
        <v>4</v>
      </c>
      <c r="C4" s="1">
        <v>209</v>
      </c>
      <c r="D4" s="2">
        <v>9482.736053805309</v>
      </c>
      <c r="N4" s="25" t="s">
        <v>2</v>
      </c>
      <c r="O4" s="29">
        <v>134</v>
      </c>
      <c r="P4" s="26">
        <v>18495.794999999995</v>
      </c>
    </row>
    <row r="5" spans="1:21" ht="25.5" x14ac:dyDescent="0.2">
      <c r="A5" s="1" t="s">
        <v>1</v>
      </c>
      <c r="B5" s="1" t="s">
        <v>5</v>
      </c>
      <c r="C5" s="1">
        <v>10</v>
      </c>
      <c r="D5" s="2">
        <v>12726.852777777776</v>
      </c>
      <c r="M5" s="24" t="s">
        <v>82</v>
      </c>
      <c r="N5" s="25" t="s">
        <v>3</v>
      </c>
      <c r="O5" s="29">
        <v>121</v>
      </c>
      <c r="P5" s="26">
        <v>7224.6457893575653</v>
      </c>
    </row>
    <row r="6" spans="1:21" x14ac:dyDescent="0.2">
      <c r="A6" s="1" t="s">
        <v>1</v>
      </c>
      <c r="B6" s="1" t="s">
        <v>6</v>
      </c>
      <c r="C6" s="1">
        <v>609</v>
      </c>
      <c r="D6" s="2">
        <v>7869.6313275850216</v>
      </c>
      <c r="M6" s="17" t="s">
        <v>93</v>
      </c>
      <c r="N6" s="25" t="s">
        <v>4</v>
      </c>
      <c r="O6" s="29">
        <v>664</v>
      </c>
      <c r="P6" s="26">
        <v>10505.583509307799</v>
      </c>
    </row>
    <row r="7" spans="1:21" ht="114.75" x14ac:dyDescent="0.2">
      <c r="A7" s="1" t="s">
        <v>1</v>
      </c>
      <c r="B7" s="1" t="s">
        <v>7</v>
      </c>
      <c r="C7" s="1">
        <v>304</v>
      </c>
      <c r="D7" s="2">
        <v>5697.2622897205138</v>
      </c>
      <c r="M7" s="17" t="s">
        <v>121</v>
      </c>
      <c r="N7" s="25" t="s">
        <v>5</v>
      </c>
      <c r="O7" s="29">
        <v>11</v>
      </c>
      <c r="P7" s="26">
        <v>15036.550865800866</v>
      </c>
      <c r="S7" s="23"/>
      <c r="T7" s="23"/>
      <c r="U7" s="24"/>
    </row>
    <row r="8" spans="1:21" x14ac:dyDescent="0.2">
      <c r="A8" s="1" t="s">
        <v>1</v>
      </c>
      <c r="B8" s="1" t="s">
        <v>8</v>
      </c>
      <c r="C8" s="1">
        <v>91</v>
      </c>
      <c r="D8" s="2">
        <v>6585.4043155257441</v>
      </c>
      <c r="M8" s="24" t="s">
        <v>126</v>
      </c>
      <c r="N8" s="25" t="s">
        <v>6</v>
      </c>
      <c r="O8" s="29">
        <v>100</v>
      </c>
      <c r="P8" s="26">
        <v>10060.988321789326</v>
      </c>
      <c r="S8" s="18"/>
      <c r="T8" s="18"/>
      <c r="U8" s="19"/>
    </row>
    <row r="9" spans="1:21" ht="89.25" x14ac:dyDescent="0.2">
      <c r="A9" s="1" t="s">
        <v>1</v>
      </c>
      <c r="B9" s="1" t="s">
        <v>9</v>
      </c>
      <c r="C9" s="1">
        <v>244</v>
      </c>
      <c r="D9" s="2">
        <v>5456.5749062640443</v>
      </c>
      <c r="M9" s="24" t="s">
        <v>130</v>
      </c>
      <c r="N9" s="25" t="s">
        <v>7</v>
      </c>
      <c r="O9" s="29">
        <v>366</v>
      </c>
      <c r="P9" s="26">
        <v>7160.8032993873067</v>
      </c>
      <c r="S9" s="18"/>
      <c r="T9" s="18"/>
      <c r="U9" s="19"/>
    </row>
    <row r="10" spans="1:21" ht="63.75" x14ac:dyDescent="0.2">
      <c r="A10" s="1" t="s">
        <v>1</v>
      </c>
      <c r="B10" s="1" t="s">
        <v>10</v>
      </c>
      <c r="C10" s="1">
        <v>36</v>
      </c>
      <c r="D10" s="2">
        <v>12609.03958333333</v>
      </c>
      <c r="M10" s="17" t="s">
        <v>134</v>
      </c>
      <c r="N10" s="25" t="s">
        <v>8</v>
      </c>
      <c r="O10" s="29">
        <v>99</v>
      </c>
      <c r="P10" s="26">
        <v>9069.1325411401194</v>
      </c>
      <c r="S10" s="18"/>
      <c r="T10" s="18"/>
      <c r="U10" s="19"/>
    </row>
    <row r="11" spans="1:21" ht="38.25" x14ac:dyDescent="0.2">
      <c r="A11" s="1" t="s">
        <v>1</v>
      </c>
      <c r="B11" s="1" t="s">
        <v>11</v>
      </c>
      <c r="C11" s="1">
        <v>16</v>
      </c>
      <c r="D11" s="2">
        <v>9562.96875</v>
      </c>
      <c r="M11" s="24" t="s">
        <v>140</v>
      </c>
      <c r="N11" s="25" t="s">
        <v>9</v>
      </c>
      <c r="O11" s="29">
        <v>394</v>
      </c>
      <c r="P11" s="26">
        <v>5948.9581600083511</v>
      </c>
      <c r="S11" s="18"/>
      <c r="T11" s="18"/>
      <c r="U11" s="19"/>
    </row>
    <row r="12" spans="1:21" ht="25.5" x14ac:dyDescent="0.2">
      <c r="A12" s="1" t="s">
        <v>1</v>
      </c>
      <c r="B12" s="1" t="s">
        <v>12</v>
      </c>
      <c r="C12" s="1">
        <v>22</v>
      </c>
      <c r="D12" s="2">
        <v>9488.7939393939396</v>
      </c>
      <c r="M12" s="17" t="s">
        <v>143</v>
      </c>
      <c r="N12" s="25" t="s">
        <v>10</v>
      </c>
      <c r="O12" s="29">
        <v>110</v>
      </c>
      <c r="P12" s="26">
        <v>16322.041055686735</v>
      </c>
      <c r="S12" s="16"/>
      <c r="T12" s="16"/>
      <c r="U12" s="17"/>
    </row>
    <row r="13" spans="1:21" ht="51" x14ac:dyDescent="0.2">
      <c r="A13" s="1" t="s">
        <v>1</v>
      </c>
      <c r="B13" s="1" t="s">
        <v>13</v>
      </c>
      <c r="C13" s="1">
        <v>163</v>
      </c>
      <c r="D13" s="2">
        <v>7013.536713763403</v>
      </c>
      <c r="M13" s="17" t="s">
        <v>150</v>
      </c>
      <c r="N13" s="25" t="s">
        <v>11</v>
      </c>
      <c r="O13" s="29">
        <v>43</v>
      </c>
      <c r="P13" s="26">
        <v>10698.005520319472</v>
      </c>
      <c r="S13" s="18"/>
      <c r="T13" s="18"/>
      <c r="U13" s="19"/>
    </row>
    <row r="14" spans="1:21" ht="25.5" x14ac:dyDescent="0.2">
      <c r="A14" s="1" t="s">
        <v>1</v>
      </c>
      <c r="B14" s="1" t="s">
        <v>14</v>
      </c>
      <c r="C14" s="1">
        <v>179</v>
      </c>
      <c r="D14" s="2">
        <v>4063.8821480970923</v>
      </c>
      <c r="M14" s="17" t="s">
        <v>154</v>
      </c>
      <c r="N14" s="25" t="s">
        <v>12</v>
      </c>
      <c r="O14" s="29">
        <v>13</v>
      </c>
      <c r="P14" s="26">
        <v>7143.333333333333</v>
      </c>
      <c r="S14" s="18"/>
      <c r="T14" s="18"/>
      <c r="U14" s="19"/>
    </row>
    <row r="15" spans="1:21" ht="51" x14ac:dyDescent="0.2">
      <c r="A15" s="1" t="s">
        <v>1</v>
      </c>
      <c r="B15" s="1" t="s">
        <v>15</v>
      </c>
      <c r="C15" s="1">
        <v>146</v>
      </c>
      <c r="D15" s="2">
        <v>11637.595812577827</v>
      </c>
      <c r="M15" s="24" t="s">
        <v>155</v>
      </c>
      <c r="N15" s="25" t="s">
        <v>13</v>
      </c>
      <c r="O15" s="29">
        <v>268</v>
      </c>
      <c r="P15" s="26">
        <v>10509.416915288279</v>
      </c>
      <c r="S15" s="18"/>
      <c r="T15" s="18"/>
      <c r="U15" s="19"/>
    </row>
    <row r="16" spans="1:21" ht="38.25" x14ac:dyDescent="0.2">
      <c r="A16" s="1" t="s">
        <v>1</v>
      </c>
      <c r="B16" s="1" t="s">
        <v>16</v>
      </c>
      <c r="C16" s="1">
        <v>235</v>
      </c>
      <c r="D16" s="2">
        <v>13280.966762303899</v>
      </c>
      <c r="M16" s="17" t="s">
        <v>163</v>
      </c>
      <c r="N16" s="25" t="s">
        <v>14</v>
      </c>
      <c r="O16" s="29">
        <v>301</v>
      </c>
      <c r="P16" s="26">
        <v>6405.709035058705</v>
      </c>
      <c r="S16" s="18"/>
      <c r="T16" s="18"/>
      <c r="U16" s="19"/>
    </row>
    <row r="17" spans="1:21" ht="102" x14ac:dyDescent="0.2">
      <c r="A17" s="1" t="s">
        <v>1</v>
      </c>
      <c r="B17" s="1" t="s">
        <v>17</v>
      </c>
      <c r="C17" s="1">
        <v>307</v>
      </c>
      <c r="D17" s="2">
        <v>7232.5658607950072</v>
      </c>
      <c r="M17" s="17" t="s">
        <v>170</v>
      </c>
      <c r="N17" s="25" t="s">
        <v>15</v>
      </c>
      <c r="O17" s="29">
        <v>327</v>
      </c>
      <c r="P17" s="26">
        <v>9108.607176394793</v>
      </c>
      <c r="S17" s="18"/>
      <c r="T17" s="18"/>
      <c r="U17" s="19"/>
    </row>
    <row r="18" spans="1:21" x14ac:dyDescent="0.2">
      <c r="A18" s="1" t="s">
        <v>1</v>
      </c>
      <c r="B18" s="1" t="s">
        <v>18</v>
      </c>
      <c r="C18" s="1">
        <v>46</v>
      </c>
      <c r="D18" s="2">
        <v>5218.7697361816918</v>
      </c>
      <c r="M18" s="17" t="s">
        <v>173</v>
      </c>
      <c r="N18" s="25" t="s">
        <v>16</v>
      </c>
      <c r="O18" s="29">
        <v>491</v>
      </c>
      <c r="P18" s="26">
        <v>10341.478680314936</v>
      </c>
      <c r="S18" s="16"/>
      <c r="T18" s="16"/>
      <c r="U18" s="17"/>
    </row>
    <row r="19" spans="1:21" ht="51" x14ac:dyDescent="0.2">
      <c r="A19" s="1" t="s">
        <v>1</v>
      </c>
      <c r="B19" s="1" t="s">
        <v>19</v>
      </c>
      <c r="C19" s="1">
        <v>57</v>
      </c>
      <c r="D19" s="2">
        <v>4865.5959317485649</v>
      </c>
      <c r="M19" s="17" t="s">
        <v>174</v>
      </c>
      <c r="N19" s="25" t="s">
        <v>17</v>
      </c>
      <c r="O19" s="29">
        <v>303</v>
      </c>
      <c r="P19" s="26">
        <v>5922.3535226141657</v>
      </c>
      <c r="S19" s="18"/>
      <c r="T19" s="18"/>
      <c r="U19" s="19"/>
    </row>
    <row r="20" spans="1:21" ht="38.25" x14ac:dyDescent="0.2">
      <c r="A20" s="1" t="s">
        <v>20</v>
      </c>
      <c r="B20" s="1" t="s">
        <v>2</v>
      </c>
      <c r="C20" s="1">
        <v>54</v>
      </c>
      <c r="D20" s="2">
        <v>15310.517391304345</v>
      </c>
      <c r="J20"/>
      <c r="M20" s="17" t="s">
        <v>178</v>
      </c>
      <c r="N20" s="25" t="s">
        <v>18</v>
      </c>
      <c r="O20" s="29">
        <v>113</v>
      </c>
      <c r="P20" s="26">
        <v>5666.5664898032164</v>
      </c>
      <c r="S20" s="18"/>
      <c r="T20" s="18"/>
      <c r="U20" s="19"/>
    </row>
    <row r="21" spans="1:21" ht="25.5" x14ac:dyDescent="0.2">
      <c r="A21" s="1" t="s">
        <v>20</v>
      </c>
      <c r="B21" s="1" t="s">
        <v>3</v>
      </c>
      <c r="C21" s="1">
        <v>105</v>
      </c>
      <c r="D21" s="2">
        <v>8753.9290479626216</v>
      </c>
      <c r="J21"/>
      <c r="M21" s="17" t="s">
        <v>183</v>
      </c>
      <c r="N21" s="25" t="s">
        <v>19</v>
      </c>
      <c r="O21" s="29">
        <v>211</v>
      </c>
      <c r="P21" s="26">
        <v>5389.5335374735869</v>
      </c>
      <c r="S21" s="18"/>
      <c r="T21" s="18"/>
      <c r="U21" s="19"/>
    </row>
    <row r="22" spans="1:21" x14ac:dyDescent="0.2">
      <c r="A22" s="1" t="s">
        <v>20</v>
      </c>
      <c r="B22" s="1" t="s">
        <v>4</v>
      </c>
      <c r="C22" s="1">
        <v>287</v>
      </c>
      <c r="D22" s="2">
        <v>10683.525802575272</v>
      </c>
      <c r="J22"/>
      <c r="M22" t="s">
        <v>178</v>
      </c>
      <c r="N22" s="25" t="s">
        <v>194</v>
      </c>
      <c r="O22" s="29">
        <v>4069</v>
      </c>
      <c r="P22" s="26">
        <v>9500.5279307265846</v>
      </c>
      <c r="S22" s="18"/>
      <c r="T22" s="18"/>
      <c r="U22" s="19"/>
    </row>
    <row r="23" spans="1:21" x14ac:dyDescent="0.2">
      <c r="A23" s="1" t="s">
        <v>20</v>
      </c>
      <c r="B23" s="1" t="s">
        <v>6</v>
      </c>
      <c r="C23" s="1">
        <v>101</v>
      </c>
      <c r="D23" s="2">
        <v>9054.6679914420001</v>
      </c>
      <c r="J23"/>
      <c r="M23" t="s">
        <v>183</v>
      </c>
      <c r="S23" s="18"/>
      <c r="T23" s="18"/>
      <c r="U23" s="19"/>
    </row>
    <row r="24" spans="1:21" x14ac:dyDescent="0.2">
      <c r="A24" s="1" t="s">
        <v>20</v>
      </c>
      <c r="B24" s="1" t="s">
        <v>7</v>
      </c>
      <c r="C24" s="1">
        <v>165</v>
      </c>
      <c r="D24" s="2">
        <v>9149.2864650837419</v>
      </c>
      <c r="J24"/>
      <c r="M24" t="e">
        <v>#N/A</v>
      </c>
      <c r="S24" s="18"/>
      <c r="T24" s="18"/>
      <c r="U24" s="19"/>
    </row>
    <row r="25" spans="1:21" x14ac:dyDescent="0.2">
      <c r="A25" s="1" t="s">
        <v>20</v>
      </c>
      <c r="B25" s="1" t="s">
        <v>8</v>
      </c>
      <c r="C25" s="1">
        <v>38</v>
      </c>
      <c r="D25" s="2">
        <v>10737.705169172928</v>
      </c>
      <c r="J25"/>
      <c r="S25" s="18"/>
      <c r="T25" s="18"/>
      <c r="U25" s="19"/>
    </row>
    <row r="26" spans="1:21" x14ac:dyDescent="0.2">
      <c r="A26" s="1" t="s">
        <v>20</v>
      </c>
      <c r="B26" s="1" t="s">
        <v>9</v>
      </c>
      <c r="C26" s="1">
        <v>115</v>
      </c>
      <c r="D26" s="2">
        <v>6385.2259545768238</v>
      </c>
      <c r="J26"/>
      <c r="S26" s="18"/>
      <c r="T26" s="18"/>
      <c r="U26" s="19"/>
    </row>
    <row r="27" spans="1:21" ht="15" thickBot="1" x14ac:dyDescent="0.25">
      <c r="A27" s="1" t="s">
        <v>20</v>
      </c>
      <c r="B27" s="1" t="s">
        <v>10</v>
      </c>
      <c r="C27" s="1">
        <v>30</v>
      </c>
      <c r="D27" s="2">
        <v>25598.272330447333</v>
      </c>
      <c r="J27"/>
      <c r="N27" s="15"/>
      <c r="O27" s="15"/>
      <c r="S27" s="18"/>
      <c r="T27" s="18"/>
      <c r="U27" s="19"/>
    </row>
    <row r="28" spans="1:21" ht="15" thickBot="1" x14ac:dyDescent="0.25">
      <c r="A28" s="1" t="s">
        <v>20</v>
      </c>
      <c r="B28" s="1" t="s">
        <v>11</v>
      </c>
      <c r="C28" s="1">
        <v>24</v>
      </c>
      <c r="D28" s="2">
        <v>12804.95567279942</v>
      </c>
      <c r="J28"/>
      <c r="N28" s="23"/>
      <c r="O28" s="23"/>
      <c r="P28" s="15"/>
      <c r="S28" s="18"/>
      <c r="T28" s="18"/>
      <c r="U28" s="19"/>
    </row>
    <row r="29" spans="1:21" x14ac:dyDescent="0.2">
      <c r="A29" s="1" t="s">
        <v>20</v>
      </c>
      <c r="B29" s="1" t="s">
        <v>13</v>
      </c>
      <c r="C29" s="1">
        <v>97</v>
      </c>
      <c r="D29" s="2">
        <v>10958.159063387931</v>
      </c>
      <c r="J29"/>
      <c r="N29" s="18"/>
      <c r="O29" s="18"/>
      <c r="P29" s="24"/>
      <c r="S29" s="18"/>
      <c r="T29" s="18"/>
      <c r="U29" s="19"/>
    </row>
    <row r="30" spans="1:21" x14ac:dyDescent="0.2">
      <c r="A30" s="1" t="s">
        <v>20</v>
      </c>
      <c r="B30" s="1" t="s">
        <v>14</v>
      </c>
      <c r="C30" s="1">
        <v>98</v>
      </c>
      <c r="D30" s="2">
        <v>6979.3262582089119</v>
      </c>
      <c r="J30"/>
      <c r="N30" s="18"/>
      <c r="O30" s="18"/>
      <c r="P30" s="19"/>
      <c r="S30" s="18"/>
      <c r="T30" s="18"/>
      <c r="U30" s="19"/>
    </row>
    <row r="31" spans="1:21" x14ac:dyDescent="0.2">
      <c r="A31" s="1" t="s">
        <v>20</v>
      </c>
      <c r="B31" s="1" t="s">
        <v>15</v>
      </c>
      <c r="C31" s="1">
        <v>166</v>
      </c>
      <c r="D31" s="2">
        <v>15457.577306846431</v>
      </c>
      <c r="J31"/>
      <c r="N31" s="18"/>
      <c r="O31" s="18"/>
      <c r="P31" s="19"/>
      <c r="S31" s="18"/>
      <c r="T31" s="18"/>
      <c r="U31" s="19"/>
    </row>
    <row r="32" spans="1:21" x14ac:dyDescent="0.2">
      <c r="A32" s="1" t="s">
        <v>20</v>
      </c>
      <c r="B32" s="1" t="s">
        <v>16</v>
      </c>
      <c r="C32" s="1">
        <v>126</v>
      </c>
      <c r="D32" s="2">
        <v>14027.574349790419</v>
      </c>
      <c r="J32"/>
      <c r="P32" s="19"/>
      <c r="S32" s="18"/>
      <c r="T32" s="18"/>
      <c r="U32" s="19"/>
    </row>
    <row r="33" spans="1:21" x14ac:dyDescent="0.2">
      <c r="A33" s="1" t="s">
        <v>20</v>
      </c>
      <c r="B33" s="1" t="s">
        <v>17</v>
      </c>
      <c r="C33" s="1">
        <v>176</v>
      </c>
      <c r="D33" s="2">
        <v>10190.069309982948</v>
      </c>
      <c r="J33"/>
      <c r="N33" s="18"/>
      <c r="O33" s="18"/>
      <c r="P33" s="19"/>
      <c r="S33" s="18"/>
      <c r="T33" s="18"/>
      <c r="U33" s="19"/>
    </row>
    <row r="34" spans="1:21" x14ac:dyDescent="0.2">
      <c r="A34" s="1" t="s">
        <v>20</v>
      </c>
      <c r="B34" s="1" t="s">
        <v>18</v>
      </c>
      <c r="C34" s="1">
        <v>20</v>
      </c>
      <c r="D34" s="2">
        <v>5643.9676677489178</v>
      </c>
      <c r="J34"/>
      <c r="N34" s="16"/>
      <c r="O34" s="16"/>
      <c r="P34" s="17"/>
      <c r="S34" s="18"/>
      <c r="T34" s="18"/>
      <c r="U34" s="19"/>
    </row>
    <row r="35" spans="1:21" x14ac:dyDescent="0.2">
      <c r="A35" s="1" t="s">
        <v>20</v>
      </c>
      <c r="B35" s="1" t="s">
        <v>19</v>
      </c>
      <c r="C35" s="1">
        <v>41</v>
      </c>
      <c r="D35" s="2">
        <v>9952.8495934959337</v>
      </c>
      <c r="J35"/>
      <c r="N35" s="18"/>
      <c r="O35" s="18"/>
      <c r="P35" s="19"/>
      <c r="S35" s="18"/>
      <c r="T35" s="18"/>
      <c r="U35" s="19"/>
    </row>
    <row r="36" spans="1:21" x14ac:dyDescent="0.2">
      <c r="A36" s="1" t="s">
        <v>21</v>
      </c>
      <c r="B36" s="1" t="s">
        <v>2</v>
      </c>
      <c r="C36" s="1">
        <v>407</v>
      </c>
      <c r="D36" s="2">
        <v>20226.219032429563</v>
      </c>
      <c r="J36"/>
      <c r="N36" s="18"/>
      <c r="O36" s="18"/>
      <c r="P36" s="19"/>
      <c r="S36" s="18"/>
      <c r="T36" s="18"/>
      <c r="U36" s="19"/>
    </row>
    <row r="37" spans="1:21" x14ac:dyDescent="0.2">
      <c r="A37" s="1" t="s">
        <v>21</v>
      </c>
      <c r="B37" s="1" t="s">
        <v>3</v>
      </c>
      <c r="C37" s="1">
        <v>1335</v>
      </c>
      <c r="D37" s="2">
        <v>7903.82639052374</v>
      </c>
      <c r="J37"/>
      <c r="N37" s="18"/>
      <c r="O37" s="18"/>
      <c r="P37" s="19"/>
      <c r="S37" s="18"/>
      <c r="T37" s="18"/>
      <c r="U37" s="19"/>
    </row>
    <row r="38" spans="1:21" x14ac:dyDescent="0.2">
      <c r="A38" s="1" t="s">
        <v>21</v>
      </c>
      <c r="B38" s="1" t="s">
        <v>4</v>
      </c>
      <c r="C38" s="1">
        <v>819</v>
      </c>
      <c r="D38" s="2">
        <v>14438.120049086703</v>
      </c>
      <c r="J38"/>
      <c r="N38" s="18"/>
      <c r="O38" s="18"/>
      <c r="P38" s="19"/>
      <c r="S38" s="18"/>
      <c r="T38" s="18"/>
      <c r="U38" s="19"/>
    </row>
    <row r="39" spans="1:21" x14ac:dyDescent="0.2">
      <c r="A39" s="1" t="s">
        <v>21</v>
      </c>
      <c r="B39" s="1" t="s">
        <v>22</v>
      </c>
      <c r="C39" s="1">
        <v>16</v>
      </c>
      <c r="D39" s="2">
        <v>15563.890625000002</v>
      </c>
      <c r="J39"/>
      <c r="N39" s="18"/>
      <c r="O39" s="18"/>
      <c r="P39" s="19"/>
      <c r="S39" s="18"/>
      <c r="T39" s="18"/>
      <c r="U39" s="19"/>
    </row>
    <row r="40" spans="1:21" x14ac:dyDescent="0.2">
      <c r="A40" s="1" t="s">
        <v>21</v>
      </c>
      <c r="B40" s="1" t="s">
        <v>5</v>
      </c>
      <c r="C40" s="1">
        <v>60</v>
      </c>
      <c r="D40" s="2">
        <v>18870.505513468019</v>
      </c>
      <c r="J40"/>
      <c r="N40" s="16"/>
      <c r="O40" s="16"/>
      <c r="P40" s="17"/>
      <c r="S40" s="18"/>
      <c r="T40" s="18"/>
      <c r="U40" s="19"/>
    </row>
    <row r="41" spans="1:21" x14ac:dyDescent="0.2">
      <c r="A41" s="1" t="s">
        <v>21</v>
      </c>
      <c r="B41" s="1" t="s">
        <v>6</v>
      </c>
      <c r="C41" s="1">
        <v>236</v>
      </c>
      <c r="D41" s="2">
        <v>13229.37165159464</v>
      </c>
      <c r="J41"/>
      <c r="N41" s="18"/>
      <c r="O41" s="18"/>
      <c r="P41" s="19"/>
      <c r="S41" s="18"/>
      <c r="T41" s="18"/>
      <c r="U41" s="19"/>
    </row>
    <row r="42" spans="1:21" x14ac:dyDescent="0.2">
      <c r="A42" s="1" t="s">
        <v>21</v>
      </c>
      <c r="B42" s="1" t="s">
        <v>7</v>
      </c>
      <c r="C42" s="1">
        <v>527</v>
      </c>
      <c r="D42" s="2">
        <v>11395.744200681243</v>
      </c>
      <c r="J42"/>
      <c r="N42" s="18"/>
      <c r="O42" s="18"/>
      <c r="P42" s="19"/>
      <c r="S42" s="18"/>
      <c r="T42" s="18"/>
      <c r="U42" s="19"/>
    </row>
    <row r="43" spans="1:21" x14ac:dyDescent="0.2">
      <c r="A43" s="1" t="s">
        <v>21</v>
      </c>
      <c r="B43" s="1" t="s">
        <v>8</v>
      </c>
      <c r="C43" s="1">
        <v>94</v>
      </c>
      <c r="D43" s="2">
        <v>15577.066999017523</v>
      </c>
      <c r="J43"/>
      <c r="N43" s="18"/>
      <c r="O43" s="18"/>
      <c r="P43" s="19"/>
      <c r="S43" s="18"/>
      <c r="T43" s="18"/>
      <c r="U43" s="19"/>
    </row>
    <row r="44" spans="1:21" x14ac:dyDescent="0.2">
      <c r="A44" s="1" t="s">
        <v>21</v>
      </c>
      <c r="B44" s="1" t="s">
        <v>9</v>
      </c>
      <c r="C44" s="1">
        <v>791</v>
      </c>
      <c r="D44" s="2">
        <v>5944.6240070015674</v>
      </c>
      <c r="J44"/>
      <c r="N44" s="18"/>
      <c r="O44" s="18"/>
      <c r="P44" s="19"/>
      <c r="S44" s="16"/>
      <c r="T44" s="16"/>
      <c r="U44" s="17"/>
    </row>
    <row r="45" spans="1:21" x14ac:dyDescent="0.2">
      <c r="A45" s="1" t="s">
        <v>21</v>
      </c>
      <c r="B45" s="1" t="s">
        <v>10</v>
      </c>
      <c r="C45" s="1">
        <v>332</v>
      </c>
      <c r="D45" s="2">
        <v>21517.797790947327</v>
      </c>
      <c r="J45"/>
      <c r="N45" s="18"/>
      <c r="O45" s="18"/>
      <c r="P45" s="19"/>
      <c r="S45" s="18"/>
      <c r="T45" s="18"/>
      <c r="U45" s="19"/>
    </row>
    <row r="46" spans="1:21" x14ac:dyDescent="0.2">
      <c r="A46" s="1" t="s">
        <v>21</v>
      </c>
      <c r="B46" s="1" t="s">
        <v>11</v>
      </c>
      <c r="C46" s="1">
        <v>104</v>
      </c>
      <c r="D46" s="2">
        <v>15832.498224345092</v>
      </c>
      <c r="J46"/>
      <c r="N46" s="18"/>
      <c r="O46" s="18"/>
      <c r="P46" s="19"/>
      <c r="S46" s="16"/>
      <c r="T46" s="16"/>
      <c r="U46" s="17"/>
    </row>
    <row r="47" spans="1:21" x14ac:dyDescent="0.2">
      <c r="A47" s="1" t="s">
        <v>21</v>
      </c>
      <c r="B47" s="1" t="s">
        <v>12</v>
      </c>
      <c r="C47" s="1">
        <v>38</v>
      </c>
      <c r="D47" s="2">
        <v>13172.282414369256</v>
      </c>
      <c r="J47"/>
      <c r="N47" s="18"/>
      <c r="O47" s="18"/>
      <c r="P47" s="19"/>
      <c r="S47" s="18"/>
      <c r="T47" s="18"/>
      <c r="U47" s="19"/>
    </row>
    <row r="48" spans="1:21" x14ac:dyDescent="0.2">
      <c r="A48" s="1" t="s">
        <v>21</v>
      </c>
      <c r="B48" s="1" t="s">
        <v>13</v>
      </c>
      <c r="C48" s="1">
        <v>620</v>
      </c>
      <c r="D48" s="2">
        <v>15071.8632505353</v>
      </c>
      <c r="J48"/>
      <c r="N48" s="18"/>
      <c r="O48" s="18"/>
      <c r="P48" s="19"/>
      <c r="S48" s="18"/>
      <c r="T48" s="18"/>
      <c r="U48" s="19"/>
    </row>
    <row r="49" spans="1:21" x14ac:dyDescent="0.2">
      <c r="A49" s="1" t="s">
        <v>21</v>
      </c>
      <c r="B49" s="1" t="s">
        <v>14</v>
      </c>
      <c r="C49" s="1">
        <v>337</v>
      </c>
      <c r="D49" s="2">
        <v>9076.3163999040917</v>
      </c>
      <c r="J49"/>
      <c r="N49" s="18"/>
      <c r="O49" s="18"/>
      <c r="P49" s="19"/>
      <c r="S49" s="18"/>
      <c r="T49" s="18"/>
      <c r="U49" s="19"/>
    </row>
    <row r="50" spans="1:21" x14ac:dyDescent="0.2">
      <c r="A50" s="1" t="s">
        <v>21</v>
      </c>
      <c r="B50" s="1" t="s">
        <v>15</v>
      </c>
      <c r="C50" s="1">
        <v>814</v>
      </c>
      <c r="D50" s="2">
        <v>9680.9243666482325</v>
      </c>
      <c r="J50"/>
      <c r="N50" s="18"/>
      <c r="O50" s="18"/>
      <c r="P50" s="19"/>
      <c r="S50" s="18"/>
      <c r="T50" s="18"/>
      <c r="U50" s="19"/>
    </row>
    <row r="51" spans="1:21" ht="15" thickBot="1" x14ac:dyDescent="0.25">
      <c r="A51" s="1" t="s">
        <v>21</v>
      </c>
      <c r="B51" s="1" t="s">
        <v>16</v>
      </c>
      <c r="C51" s="1">
        <v>1609</v>
      </c>
      <c r="D51" s="2">
        <v>12011.99764978649</v>
      </c>
      <c r="J51"/>
      <c r="N51" s="18"/>
      <c r="O51" s="18"/>
      <c r="P51" s="19"/>
      <c r="S51" s="15"/>
      <c r="T51" s="15"/>
      <c r="U51" s="15"/>
    </row>
    <row r="52" spans="1:21" x14ac:dyDescent="0.2">
      <c r="A52" s="1" t="s">
        <v>21</v>
      </c>
      <c r="B52" s="1" t="s">
        <v>17</v>
      </c>
      <c r="C52" s="1">
        <v>516</v>
      </c>
      <c r="D52" s="2">
        <v>8671.8652860974034</v>
      </c>
      <c r="J52"/>
      <c r="N52" s="18"/>
      <c r="O52" s="18"/>
      <c r="P52" s="19"/>
      <c r="S52" s="23"/>
      <c r="T52" s="23"/>
      <c r="U52" s="24"/>
    </row>
    <row r="53" spans="1:21" x14ac:dyDescent="0.2">
      <c r="A53" s="1" t="s">
        <v>21</v>
      </c>
      <c r="B53" s="1" t="s">
        <v>18</v>
      </c>
      <c r="C53" s="1">
        <v>316</v>
      </c>
      <c r="D53" s="2">
        <v>7529.0335093703743</v>
      </c>
      <c r="J53"/>
      <c r="N53" s="18"/>
      <c r="O53" s="18"/>
      <c r="P53" s="19"/>
      <c r="S53" s="18"/>
      <c r="T53" s="18"/>
      <c r="U53" s="19"/>
    </row>
    <row r="54" spans="1:21" x14ac:dyDescent="0.2">
      <c r="A54" s="1" t="s">
        <v>21</v>
      </c>
      <c r="B54" s="1" t="s">
        <v>19</v>
      </c>
      <c r="C54" s="1">
        <v>372</v>
      </c>
      <c r="D54" s="2">
        <v>6943.2378235116103</v>
      </c>
      <c r="J54"/>
      <c r="N54" s="18"/>
      <c r="O54" s="18"/>
      <c r="P54" s="19"/>
      <c r="S54" s="18"/>
      <c r="T54" s="18"/>
      <c r="U54" s="19"/>
    </row>
    <row r="55" spans="1:21" x14ac:dyDescent="0.2">
      <c r="A55" s="1" t="s">
        <v>23</v>
      </c>
      <c r="B55" s="1" t="s">
        <v>2</v>
      </c>
      <c r="C55" s="1">
        <v>182</v>
      </c>
      <c r="D55" s="2">
        <v>22645.845345708909</v>
      </c>
      <c r="J55"/>
      <c r="N55" s="18"/>
      <c r="O55" s="18"/>
      <c r="P55" s="19"/>
      <c r="S55" s="18"/>
      <c r="T55" s="18"/>
      <c r="U55" s="19"/>
    </row>
    <row r="56" spans="1:21" x14ac:dyDescent="0.2">
      <c r="A56" s="1" t="s">
        <v>23</v>
      </c>
      <c r="B56" s="1" t="s">
        <v>3</v>
      </c>
      <c r="C56" s="1">
        <v>1132</v>
      </c>
      <c r="D56" s="2">
        <v>8420.7174685395094</v>
      </c>
      <c r="J56"/>
      <c r="N56" s="18"/>
      <c r="O56" s="18"/>
      <c r="P56" s="19"/>
      <c r="S56" s="23"/>
      <c r="T56" s="23"/>
      <c r="U56" s="24"/>
    </row>
    <row r="57" spans="1:21" x14ac:dyDescent="0.2">
      <c r="A57" s="1" t="s">
        <v>23</v>
      </c>
      <c r="B57" s="1" t="s">
        <v>24</v>
      </c>
      <c r="C57" s="1">
        <v>42</v>
      </c>
      <c r="D57" s="2">
        <v>18159.5376984127</v>
      </c>
      <c r="J57"/>
      <c r="N57" s="18"/>
      <c r="O57" s="18"/>
      <c r="P57" s="19"/>
      <c r="S57" s="18"/>
      <c r="T57" s="18"/>
      <c r="U57" s="19"/>
    </row>
    <row r="58" spans="1:21" x14ac:dyDescent="0.2">
      <c r="A58" s="1" t="s">
        <v>23</v>
      </c>
      <c r="B58" s="1" t="s">
        <v>4</v>
      </c>
      <c r="C58" s="1">
        <v>1135</v>
      </c>
      <c r="D58" s="2">
        <v>17727.338673900733</v>
      </c>
      <c r="J58"/>
      <c r="N58" s="18"/>
      <c r="O58" s="18"/>
      <c r="P58" s="19"/>
      <c r="S58" s="18"/>
      <c r="T58" s="18"/>
      <c r="U58" s="19"/>
    </row>
    <row r="59" spans="1:21" x14ac:dyDescent="0.2">
      <c r="A59" s="1" t="s">
        <v>23</v>
      </c>
      <c r="B59" s="1" t="s">
        <v>5</v>
      </c>
      <c r="C59" s="1">
        <v>41</v>
      </c>
      <c r="D59" s="2">
        <v>24447.722241579559</v>
      </c>
      <c r="J59"/>
      <c r="N59" s="18"/>
      <c r="O59" s="18"/>
      <c r="P59" s="19"/>
      <c r="S59" s="18"/>
      <c r="T59" s="18"/>
      <c r="U59" s="19"/>
    </row>
    <row r="60" spans="1:21" x14ac:dyDescent="0.2">
      <c r="A60" s="1" t="s">
        <v>23</v>
      </c>
      <c r="B60" s="1" t="s">
        <v>6</v>
      </c>
      <c r="C60" s="1">
        <v>173</v>
      </c>
      <c r="D60" s="2">
        <v>12315.380541375776</v>
      </c>
      <c r="J60"/>
      <c r="N60" s="18"/>
      <c r="O60" s="18"/>
      <c r="P60" s="19"/>
      <c r="S60" s="16"/>
      <c r="T60" s="16"/>
      <c r="U60" s="17"/>
    </row>
    <row r="61" spans="1:21" x14ac:dyDescent="0.2">
      <c r="A61" s="1" t="s">
        <v>23</v>
      </c>
      <c r="B61" s="1" t="s">
        <v>7</v>
      </c>
      <c r="C61" s="1">
        <v>547</v>
      </c>
      <c r="D61" s="2">
        <v>11298.048050760937</v>
      </c>
      <c r="J61"/>
      <c r="N61" s="18"/>
      <c r="O61" s="18"/>
      <c r="P61" s="19"/>
      <c r="S61" s="18"/>
      <c r="T61" s="18"/>
      <c r="U61" s="19"/>
    </row>
    <row r="62" spans="1:21" x14ac:dyDescent="0.2">
      <c r="A62" s="1" t="s">
        <v>23</v>
      </c>
      <c r="B62" s="1" t="s">
        <v>8</v>
      </c>
      <c r="C62" s="1">
        <v>99</v>
      </c>
      <c r="D62" s="2">
        <v>15571.46986276911</v>
      </c>
      <c r="J62"/>
      <c r="N62" s="18"/>
      <c r="O62" s="18"/>
      <c r="P62" s="19"/>
      <c r="S62" s="18"/>
      <c r="T62" s="18"/>
      <c r="U62" s="19"/>
    </row>
    <row r="63" spans="1:21" x14ac:dyDescent="0.2">
      <c r="A63" s="1" t="s">
        <v>23</v>
      </c>
      <c r="B63" s="1" t="s">
        <v>9</v>
      </c>
      <c r="C63" s="1">
        <v>852</v>
      </c>
      <c r="D63" s="2">
        <v>6120.6407407407405</v>
      </c>
      <c r="J63"/>
      <c r="N63" s="18"/>
      <c r="O63" s="18"/>
      <c r="P63" s="19"/>
      <c r="S63" s="18"/>
      <c r="T63" s="18"/>
      <c r="U63" s="19"/>
    </row>
    <row r="64" spans="1:21" x14ac:dyDescent="0.2">
      <c r="A64" s="1" t="s">
        <v>23</v>
      </c>
      <c r="B64" s="1" t="s">
        <v>10</v>
      </c>
      <c r="C64" s="1">
        <v>381</v>
      </c>
      <c r="D64" s="2">
        <v>22351.0638288585</v>
      </c>
      <c r="J64"/>
      <c r="N64" s="18"/>
      <c r="O64" s="18"/>
      <c r="P64" s="19"/>
      <c r="S64" s="18"/>
      <c r="T64" s="18"/>
      <c r="U64" s="19"/>
    </row>
    <row r="65" spans="1:21" x14ac:dyDescent="0.2">
      <c r="A65" s="1" t="s">
        <v>23</v>
      </c>
      <c r="B65" s="1" t="s">
        <v>11</v>
      </c>
      <c r="C65" s="1">
        <v>119</v>
      </c>
      <c r="D65" s="2">
        <v>18382.499594383215</v>
      </c>
      <c r="J65"/>
      <c r="N65" s="18"/>
      <c r="O65" s="18"/>
      <c r="P65" s="19"/>
      <c r="S65" s="18"/>
      <c r="T65" s="18"/>
      <c r="U65" s="19"/>
    </row>
    <row r="66" spans="1:21" x14ac:dyDescent="0.2">
      <c r="A66" s="1" t="s">
        <v>23</v>
      </c>
      <c r="B66" s="1" t="s">
        <v>12</v>
      </c>
      <c r="C66" s="1">
        <v>27</v>
      </c>
      <c r="D66" s="2">
        <v>18965.567012719788</v>
      </c>
      <c r="J66"/>
      <c r="N66" s="16"/>
      <c r="O66" s="16"/>
      <c r="P66" s="17"/>
      <c r="S66" s="23"/>
      <c r="T66" s="23"/>
      <c r="U66" s="24"/>
    </row>
    <row r="67" spans="1:21" x14ac:dyDescent="0.2">
      <c r="A67" s="1" t="s">
        <v>23</v>
      </c>
      <c r="B67" s="1" t="s">
        <v>13</v>
      </c>
      <c r="C67" s="1">
        <v>883</v>
      </c>
      <c r="D67" s="2">
        <v>12708.4574019192</v>
      </c>
      <c r="J67"/>
      <c r="N67" s="18"/>
      <c r="O67" s="18"/>
      <c r="P67" s="19"/>
      <c r="S67" s="18"/>
      <c r="T67" s="18"/>
      <c r="U67" s="19"/>
    </row>
    <row r="68" spans="1:21" x14ac:dyDescent="0.2">
      <c r="A68" s="1" t="s">
        <v>23</v>
      </c>
      <c r="B68" s="1" t="s">
        <v>14</v>
      </c>
      <c r="C68" s="1">
        <v>256</v>
      </c>
      <c r="D68" s="2">
        <v>7970.2662857650148</v>
      </c>
      <c r="J68"/>
      <c r="N68" s="16"/>
      <c r="O68" s="16"/>
      <c r="P68" s="17"/>
      <c r="S68" s="18"/>
      <c r="T68" s="18"/>
      <c r="U68" s="19"/>
    </row>
    <row r="69" spans="1:21" x14ac:dyDescent="0.2">
      <c r="A69" s="1" t="s">
        <v>23</v>
      </c>
      <c r="B69" s="1" t="s">
        <v>15</v>
      </c>
      <c r="C69" s="1">
        <v>512</v>
      </c>
      <c r="D69" s="2">
        <v>13537.117276419342</v>
      </c>
      <c r="J69"/>
      <c r="N69" s="18"/>
      <c r="O69" s="18"/>
      <c r="P69" s="19"/>
      <c r="S69" s="16"/>
      <c r="T69" s="16"/>
      <c r="U69" s="17"/>
    </row>
    <row r="70" spans="1:21" x14ac:dyDescent="0.2">
      <c r="A70" s="1" t="s">
        <v>23</v>
      </c>
      <c r="B70" s="1" t="s">
        <v>16</v>
      </c>
      <c r="C70" s="1">
        <v>1217</v>
      </c>
      <c r="D70" s="2">
        <v>11494.037124206014</v>
      </c>
      <c r="J70"/>
      <c r="N70" s="18"/>
      <c r="O70" s="18"/>
      <c r="P70" s="19"/>
      <c r="S70" s="18"/>
      <c r="T70" s="18"/>
      <c r="U70" s="19"/>
    </row>
    <row r="71" spans="1:21" x14ac:dyDescent="0.2">
      <c r="A71" s="1" t="s">
        <v>23</v>
      </c>
      <c r="B71" s="1" t="s">
        <v>17</v>
      </c>
      <c r="C71" s="1">
        <v>584</v>
      </c>
      <c r="D71" s="2">
        <v>8768.7240009562374</v>
      </c>
      <c r="J71"/>
      <c r="N71" s="18"/>
      <c r="O71" s="18"/>
      <c r="P71" s="19"/>
      <c r="S71" s="18"/>
      <c r="T71" s="20"/>
      <c r="U71" s="19"/>
    </row>
    <row r="72" spans="1:21" x14ac:dyDescent="0.2">
      <c r="A72" s="1" t="s">
        <v>23</v>
      </c>
      <c r="B72" s="1" t="s">
        <v>18</v>
      </c>
      <c r="C72" s="1">
        <v>316</v>
      </c>
      <c r="D72" s="2">
        <v>7632.1787800016455</v>
      </c>
      <c r="J72"/>
      <c r="N72" s="18"/>
      <c r="O72" s="18"/>
      <c r="P72" s="19"/>
      <c r="S72" s="18"/>
      <c r="T72" s="18"/>
      <c r="U72" s="19"/>
    </row>
    <row r="73" spans="1:21" ht="15" thickBot="1" x14ac:dyDescent="0.25">
      <c r="A73" s="1" t="s">
        <v>23</v>
      </c>
      <c r="B73" s="1" t="s">
        <v>19</v>
      </c>
      <c r="C73" s="1">
        <v>280</v>
      </c>
      <c r="D73" s="2">
        <v>8505.2855815811108</v>
      </c>
      <c r="J73"/>
      <c r="N73" s="15"/>
      <c r="O73" s="15"/>
      <c r="P73" s="15"/>
      <c r="S73" s="18"/>
      <c r="T73" s="18"/>
      <c r="U73" s="19"/>
    </row>
    <row r="74" spans="1:21" x14ac:dyDescent="0.2">
      <c r="A74" s="1" t="s">
        <v>25</v>
      </c>
      <c r="B74" s="1" t="s">
        <v>2</v>
      </c>
      <c r="C74" s="1">
        <v>139</v>
      </c>
      <c r="D74" s="2">
        <v>19306.924903412</v>
      </c>
      <c r="J74"/>
      <c r="N74" s="23"/>
      <c r="O74" s="23"/>
      <c r="P74" s="24"/>
      <c r="S74" s="18"/>
      <c r="T74" s="18"/>
      <c r="U74" s="19"/>
    </row>
    <row r="75" spans="1:21" x14ac:dyDescent="0.2">
      <c r="A75" s="1" t="s">
        <v>25</v>
      </c>
      <c r="B75" s="1" t="s">
        <v>3</v>
      </c>
      <c r="C75" s="1">
        <v>94</v>
      </c>
      <c r="D75" s="2">
        <v>7353.0271330324558</v>
      </c>
      <c r="J75"/>
      <c r="N75" s="18"/>
      <c r="O75" s="18"/>
      <c r="P75" s="19"/>
      <c r="S75" s="18"/>
      <c r="T75" s="18"/>
      <c r="U75" s="19"/>
    </row>
    <row r="76" spans="1:21" x14ac:dyDescent="0.2">
      <c r="A76" s="1" t="s">
        <v>25</v>
      </c>
      <c r="B76" s="1" t="s">
        <v>4</v>
      </c>
      <c r="C76" s="1">
        <v>638</v>
      </c>
      <c r="D76" s="2">
        <v>11046.156746992994</v>
      </c>
      <c r="J76"/>
      <c r="N76" s="18"/>
      <c r="O76" s="18"/>
      <c r="P76" s="19"/>
      <c r="S76" s="16"/>
      <c r="T76" s="16"/>
      <c r="U76" s="17"/>
    </row>
    <row r="77" spans="1:21" x14ac:dyDescent="0.2">
      <c r="A77" s="1" t="s">
        <v>25</v>
      </c>
      <c r="B77" s="1" t="s">
        <v>22</v>
      </c>
      <c r="C77" s="1">
        <v>15</v>
      </c>
      <c r="D77" s="2">
        <v>27614.116666666665</v>
      </c>
      <c r="J77"/>
      <c r="N77" s="18"/>
      <c r="O77" s="18"/>
      <c r="P77" s="19"/>
      <c r="S77" s="18"/>
      <c r="T77" s="18"/>
      <c r="U77" s="19"/>
    </row>
    <row r="78" spans="1:21" x14ac:dyDescent="0.2">
      <c r="A78" s="1" t="s">
        <v>25</v>
      </c>
      <c r="B78" s="1" t="s">
        <v>5</v>
      </c>
      <c r="C78" s="1">
        <v>69</v>
      </c>
      <c r="D78" s="2">
        <v>10907.398711232408</v>
      </c>
      <c r="J78"/>
      <c r="N78" s="23"/>
      <c r="O78" s="23"/>
      <c r="P78" s="24"/>
      <c r="S78" s="18"/>
      <c r="T78" s="18"/>
      <c r="U78" s="19"/>
    </row>
    <row r="79" spans="1:21" x14ac:dyDescent="0.2">
      <c r="A79" s="1" t="s">
        <v>25</v>
      </c>
      <c r="B79" s="1" t="s">
        <v>6</v>
      </c>
      <c r="C79" s="1">
        <v>148</v>
      </c>
      <c r="D79" s="2">
        <v>10242.724628524629</v>
      </c>
      <c r="J79"/>
      <c r="N79" s="18"/>
      <c r="O79" s="18"/>
      <c r="P79" s="19"/>
      <c r="S79" s="18"/>
      <c r="T79" s="18"/>
      <c r="U79" s="19"/>
    </row>
    <row r="80" spans="1:21" x14ac:dyDescent="0.2">
      <c r="A80" s="1" t="s">
        <v>25</v>
      </c>
      <c r="B80" s="1" t="s">
        <v>7</v>
      </c>
      <c r="C80" s="1">
        <v>681</v>
      </c>
      <c r="D80" s="2">
        <v>7519.3133400821644</v>
      </c>
      <c r="J80"/>
      <c r="N80" s="18"/>
      <c r="O80" s="18"/>
      <c r="P80" s="19"/>
      <c r="S80" s="16"/>
      <c r="T80" s="16"/>
      <c r="U80" s="17"/>
    </row>
    <row r="81" spans="1:21" x14ac:dyDescent="0.2">
      <c r="A81" s="1" t="s">
        <v>25</v>
      </c>
      <c r="B81" s="1" t="s">
        <v>8</v>
      </c>
      <c r="C81" s="1">
        <v>150</v>
      </c>
      <c r="D81" s="2">
        <v>9473.514302789803</v>
      </c>
      <c r="J81"/>
      <c r="N81" s="18"/>
      <c r="O81" s="18"/>
      <c r="P81" s="19"/>
      <c r="S81" s="18"/>
      <c r="T81" s="18"/>
      <c r="U81" s="19"/>
    </row>
    <row r="82" spans="1:21" x14ac:dyDescent="0.2">
      <c r="A82" s="1" t="s">
        <v>25</v>
      </c>
      <c r="B82" s="1" t="s">
        <v>9</v>
      </c>
      <c r="C82" s="1">
        <v>390</v>
      </c>
      <c r="D82" s="2">
        <v>5493.6295890220908</v>
      </c>
      <c r="J82"/>
      <c r="N82" s="16"/>
      <c r="O82" s="16"/>
      <c r="P82" s="17"/>
      <c r="S82" s="23"/>
      <c r="T82" s="23"/>
      <c r="U82" s="24"/>
    </row>
    <row r="83" spans="1:21" x14ac:dyDescent="0.2">
      <c r="A83" s="1" t="s">
        <v>25</v>
      </c>
      <c r="B83" s="1" t="s">
        <v>10</v>
      </c>
      <c r="C83" s="1">
        <v>86</v>
      </c>
      <c r="D83" s="2">
        <v>15920.020806486797</v>
      </c>
      <c r="J83"/>
      <c r="N83" s="18"/>
      <c r="O83" s="18"/>
      <c r="P83" s="19"/>
      <c r="S83" s="18"/>
      <c r="T83" s="18"/>
      <c r="U83" s="19"/>
    </row>
    <row r="84" spans="1:21" x14ac:dyDescent="0.2">
      <c r="A84" s="1" t="s">
        <v>25</v>
      </c>
      <c r="B84" s="1" t="s">
        <v>11</v>
      </c>
      <c r="C84" s="1">
        <v>73</v>
      </c>
      <c r="D84" s="2">
        <v>17107.334610784954</v>
      </c>
      <c r="J84"/>
      <c r="N84" s="18"/>
      <c r="O84" s="18"/>
      <c r="P84" s="19"/>
      <c r="S84" s="18"/>
      <c r="T84" s="18"/>
      <c r="U84" s="19"/>
    </row>
    <row r="85" spans="1:21" x14ac:dyDescent="0.2">
      <c r="A85" s="1" t="s">
        <v>25</v>
      </c>
      <c r="B85" s="1" t="s">
        <v>12</v>
      </c>
      <c r="C85" s="1">
        <v>37</v>
      </c>
      <c r="D85" s="2">
        <v>12592.009491634491</v>
      </c>
      <c r="J85"/>
      <c r="N85" s="18"/>
      <c r="O85" s="18"/>
      <c r="P85" s="19"/>
      <c r="S85" s="18"/>
      <c r="T85" s="18"/>
      <c r="U85" s="19"/>
    </row>
    <row r="86" spans="1:21" x14ac:dyDescent="0.2">
      <c r="A86" s="1" t="s">
        <v>25</v>
      </c>
      <c r="B86" s="1" t="s">
        <v>13</v>
      </c>
      <c r="C86" s="1">
        <v>212</v>
      </c>
      <c r="D86" s="2">
        <v>8092.6501252416338</v>
      </c>
      <c r="J86"/>
      <c r="N86" s="18"/>
      <c r="O86" s="18"/>
      <c r="P86" s="19"/>
      <c r="S86" s="18"/>
      <c r="T86" s="18"/>
      <c r="U86" s="19"/>
    </row>
    <row r="87" spans="1:21" x14ac:dyDescent="0.2">
      <c r="A87" s="1" t="s">
        <v>25</v>
      </c>
      <c r="B87" s="1" t="s">
        <v>14</v>
      </c>
      <c r="C87" s="1">
        <v>315</v>
      </c>
      <c r="D87" s="2">
        <v>6509.4427873977893</v>
      </c>
      <c r="J87"/>
      <c r="N87" s="18"/>
      <c r="O87" s="18"/>
      <c r="P87" s="19"/>
      <c r="S87" s="18"/>
      <c r="T87" s="18"/>
      <c r="U87" s="19"/>
    </row>
    <row r="88" spans="1:21" x14ac:dyDescent="0.2">
      <c r="A88" s="1" t="s">
        <v>25</v>
      </c>
      <c r="B88" s="1" t="s">
        <v>15</v>
      </c>
      <c r="C88" s="1">
        <v>430</v>
      </c>
      <c r="D88" s="2">
        <v>9209.8597326252584</v>
      </c>
      <c r="J88"/>
      <c r="N88" s="23"/>
      <c r="O88" s="23"/>
      <c r="P88" s="24"/>
      <c r="S88" s="18"/>
      <c r="T88" s="18"/>
      <c r="U88" s="19"/>
    </row>
    <row r="89" spans="1:21" x14ac:dyDescent="0.2">
      <c r="A89" s="1" t="s">
        <v>25</v>
      </c>
      <c r="B89" s="1" t="s">
        <v>16</v>
      </c>
      <c r="C89" s="1">
        <v>645</v>
      </c>
      <c r="D89" s="2">
        <v>9111.6216693513197</v>
      </c>
      <c r="J89"/>
      <c r="N89" s="18"/>
      <c r="O89" s="18"/>
      <c r="P89" s="19"/>
      <c r="S89" s="18"/>
      <c r="T89" s="18"/>
      <c r="U89" s="19"/>
    </row>
    <row r="90" spans="1:21" x14ac:dyDescent="0.2">
      <c r="A90" s="1" t="s">
        <v>25</v>
      </c>
      <c r="B90" s="1" t="s">
        <v>17</v>
      </c>
      <c r="C90" s="1">
        <v>472</v>
      </c>
      <c r="D90" s="2">
        <v>5600.4233949666141</v>
      </c>
      <c r="J90"/>
      <c r="N90" s="18"/>
      <c r="O90" s="18"/>
      <c r="P90" s="19"/>
      <c r="S90" s="16"/>
      <c r="T90" s="16"/>
      <c r="U90" s="17"/>
    </row>
    <row r="91" spans="1:21" x14ac:dyDescent="0.2">
      <c r="A91" s="1" t="s">
        <v>25</v>
      </c>
      <c r="B91" s="1" t="s">
        <v>18</v>
      </c>
      <c r="C91" s="1">
        <v>127</v>
      </c>
      <c r="D91" s="2">
        <v>5231.6063017690967</v>
      </c>
      <c r="J91"/>
      <c r="N91" s="16"/>
      <c r="O91" s="16"/>
      <c r="P91" s="17"/>
      <c r="S91" s="18"/>
      <c r="T91" s="18"/>
      <c r="U91" s="19"/>
    </row>
    <row r="92" spans="1:21" x14ac:dyDescent="0.2">
      <c r="A92" s="1" t="s">
        <v>25</v>
      </c>
      <c r="B92" s="1" t="s">
        <v>19</v>
      </c>
      <c r="C92" s="1">
        <v>198</v>
      </c>
      <c r="D92" s="2">
        <v>5488.410766029705</v>
      </c>
      <c r="J92"/>
      <c r="N92" s="18"/>
      <c r="O92" s="18"/>
      <c r="P92" s="19"/>
      <c r="S92" s="18"/>
      <c r="T92" s="18"/>
      <c r="U92" s="19"/>
    </row>
    <row r="93" spans="1:21" x14ac:dyDescent="0.2">
      <c r="A93" s="1" t="s">
        <v>26</v>
      </c>
      <c r="B93" s="1" t="s">
        <v>2</v>
      </c>
      <c r="C93" s="1">
        <v>27</v>
      </c>
      <c r="D93" s="2">
        <v>16456.933333333334</v>
      </c>
      <c r="J93"/>
      <c r="N93" s="18"/>
      <c r="O93" s="20"/>
      <c r="P93" s="19"/>
      <c r="S93" s="18"/>
      <c r="T93" s="18"/>
      <c r="U93" s="19"/>
    </row>
    <row r="94" spans="1:21" x14ac:dyDescent="0.2">
      <c r="A94" s="1" t="s">
        <v>26</v>
      </c>
      <c r="B94" s="1" t="s">
        <v>3</v>
      </c>
      <c r="C94" s="1">
        <v>263</v>
      </c>
      <c r="D94" s="2">
        <v>7412.0312188972839</v>
      </c>
      <c r="J94"/>
      <c r="N94" s="18"/>
      <c r="O94" s="18"/>
      <c r="P94" s="19"/>
      <c r="S94" s="18"/>
      <c r="T94" s="18"/>
      <c r="U94" s="19"/>
    </row>
    <row r="95" spans="1:21" x14ac:dyDescent="0.2">
      <c r="A95" s="1" t="s">
        <v>26</v>
      </c>
      <c r="B95" s="1" t="s">
        <v>4</v>
      </c>
      <c r="C95" s="1">
        <v>508</v>
      </c>
      <c r="D95" s="2">
        <v>9481.0003780777351</v>
      </c>
      <c r="J95"/>
      <c r="N95" s="18"/>
      <c r="O95" s="18"/>
      <c r="P95" s="19"/>
      <c r="S95" s="18"/>
      <c r="T95" s="18"/>
      <c r="U95" s="19"/>
    </row>
    <row r="96" spans="1:21" x14ac:dyDescent="0.2">
      <c r="A96" s="1" t="s">
        <v>26</v>
      </c>
      <c r="B96" s="1" t="s">
        <v>5</v>
      </c>
      <c r="C96" s="1">
        <v>42</v>
      </c>
      <c r="D96" s="2">
        <v>10043.263482615268</v>
      </c>
      <c r="J96"/>
      <c r="N96" s="18"/>
      <c r="O96" s="18"/>
      <c r="P96" s="19"/>
      <c r="S96" s="18"/>
      <c r="T96" s="18"/>
      <c r="U96" s="19"/>
    </row>
    <row r="97" spans="1:21" ht="15" thickBot="1" x14ac:dyDescent="0.25">
      <c r="A97" s="1" t="s">
        <v>26</v>
      </c>
      <c r="B97" s="1" t="s">
        <v>6</v>
      </c>
      <c r="C97" s="1">
        <v>148</v>
      </c>
      <c r="D97" s="2">
        <v>7326.1086992024475</v>
      </c>
      <c r="J97"/>
      <c r="N97" s="18"/>
      <c r="O97" s="18"/>
      <c r="P97" s="19"/>
      <c r="S97" s="15"/>
      <c r="T97" s="15"/>
      <c r="U97" s="15"/>
    </row>
    <row r="98" spans="1:21" x14ac:dyDescent="0.2">
      <c r="A98" s="1" t="s">
        <v>26</v>
      </c>
      <c r="B98" s="1" t="s">
        <v>7</v>
      </c>
      <c r="C98" s="1">
        <v>430</v>
      </c>
      <c r="D98" s="2">
        <v>7236.4764490419075</v>
      </c>
      <c r="J98"/>
      <c r="N98" s="16"/>
      <c r="O98" s="16"/>
      <c r="P98" s="17"/>
      <c r="S98" s="16"/>
      <c r="T98" s="16"/>
      <c r="U98" s="17"/>
    </row>
    <row r="99" spans="1:21" x14ac:dyDescent="0.2">
      <c r="A99" s="1" t="s">
        <v>26</v>
      </c>
      <c r="B99" s="1" t="s">
        <v>8</v>
      </c>
      <c r="C99" s="1">
        <v>343</v>
      </c>
      <c r="D99" s="2">
        <v>9728.1361257304434</v>
      </c>
      <c r="J99"/>
      <c r="N99" s="18"/>
      <c r="O99" s="18"/>
      <c r="P99" s="19"/>
      <c r="S99" s="18"/>
      <c r="T99" s="18"/>
      <c r="U99" s="19"/>
    </row>
    <row r="100" spans="1:21" x14ac:dyDescent="0.2">
      <c r="A100" s="1" t="s">
        <v>26</v>
      </c>
      <c r="B100" s="1" t="s">
        <v>9</v>
      </c>
      <c r="C100" s="1">
        <v>589</v>
      </c>
      <c r="D100" s="2">
        <v>5976.9328787511349</v>
      </c>
      <c r="J100"/>
      <c r="N100" s="18"/>
      <c r="O100" s="18"/>
      <c r="P100" s="19"/>
      <c r="S100" s="18"/>
      <c r="T100" s="18"/>
      <c r="U100" s="19"/>
    </row>
    <row r="101" spans="1:21" x14ac:dyDescent="0.2">
      <c r="A101" s="1" t="s">
        <v>26</v>
      </c>
      <c r="B101" s="1" t="s">
        <v>11</v>
      </c>
      <c r="C101" s="1">
        <v>13</v>
      </c>
      <c r="D101" s="2">
        <v>12106.210683760686</v>
      </c>
      <c r="J101"/>
      <c r="N101" s="18"/>
      <c r="O101" s="18"/>
      <c r="P101" s="19"/>
      <c r="S101" s="16"/>
      <c r="T101" s="16"/>
      <c r="U101" s="17"/>
    </row>
    <row r="102" spans="1:21" x14ac:dyDescent="0.2">
      <c r="A102" s="1" t="s">
        <v>26</v>
      </c>
      <c r="B102" s="1" t="s">
        <v>13</v>
      </c>
      <c r="C102" s="1">
        <v>46</v>
      </c>
      <c r="D102" s="2">
        <v>6505.4815429136088</v>
      </c>
      <c r="J102"/>
      <c r="N102" s="16"/>
      <c r="O102" s="16"/>
      <c r="P102" s="17"/>
      <c r="S102" s="18"/>
      <c r="T102" s="18"/>
      <c r="U102" s="19"/>
    </row>
    <row r="103" spans="1:21" x14ac:dyDescent="0.2">
      <c r="A103" s="1" t="s">
        <v>26</v>
      </c>
      <c r="B103" s="1" t="s">
        <v>14</v>
      </c>
      <c r="C103" s="1">
        <v>438</v>
      </c>
      <c r="D103" s="2">
        <v>4925.9282373638571</v>
      </c>
      <c r="J103"/>
      <c r="N103" s="18"/>
      <c r="O103" s="18"/>
      <c r="P103" s="19"/>
      <c r="S103" s="16"/>
      <c r="T103" s="16"/>
      <c r="U103" s="17"/>
    </row>
    <row r="104" spans="1:21" x14ac:dyDescent="0.2">
      <c r="A104" s="1" t="s">
        <v>26</v>
      </c>
      <c r="B104" s="1" t="s">
        <v>15</v>
      </c>
      <c r="C104" s="1">
        <v>188</v>
      </c>
      <c r="D104" s="2">
        <v>10603.447474747478</v>
      </c>
      <c r="J104"/>
      <c r="N104" s="23"/>
      <c r="O104" s="23"/>
      <c r="P104" s="24"/>
      <c r="S104" s="18"/>
      <c r="T104" s="18"/>
      <c r="U104" s="19"/>
    </row>
    <row r="105" spans="1:21" x14ac:dyDescent="0.2">
      <c r="A105" s="1" t="s">
        <v>26</v>
      </c>
      <c r="B105" s="1" t="s">
        <v>16</v>
      </c>
      <c r="C105" s="1">
        <v>138</v>
      </c>
      <c r="D105" s="2">
        <v>12402.329789091744</v>
      </c>
      <c r="J105"/>
      <c r="N105" s="18"/>
      <c r="O105" s="18"/>
      <c r="P105" s="19"/>
      <c r="S105" s="18"/>
      <c r="T105" s="18"/>
      <c r="U105" s="19"/>
    </row>
    <row r="106" spans="1:21" x14ac:dyDescent="0.2">
      <c r="A106" s="1" t="s">
        <v>26</v>
      </c>
      <c r="B106" s="1" t="s">
        <v>17</v>
      </c>
      <c r="C106" s="1">
        <v>186</v>
      </c>
      <c r="D106" s="2">
        <v>5961.9059000139623</v>
      </c>
      <c r="J106"/>
      <c r="N106" s="18"/>
      <c r="O106" s="18"/>
      <c r="P106" s="19"/>
      <c r="S106" s="18"/>
      <c r="T106" s="18"/>
      <c r="U106" s="19"/>
    </row>
    <row r="107" spans="1:21" x14ac:dyDescent="0.2">
      <c r="A107" s="1" t="s">
        <v>26</v>
      </c>
      <c r="B107" s="1" t="s">
        <v>18</v>
      </c>
      <c r="C107" s="1">
        <v>63</v>
      </c>
      <c r="D107" s="2">
        <v>6012.0651492246716</v>
      </c>
      <c r="J107"/>
      <c r="N107" s="18"/>
      <c r="O107" s="18"/>
      <c r="P107" s="19"/>
      <c r="S107" s="16"/>
      <c r="T107" s="16"/>
      <c r="U107" s="17"/>
    </row>
    <row r="108" spans="1:21" x14ac:dyDescent="0.2">
      <c r="A108" s="1" t="s">
        <v>26</v>
      </c>
      <c r="B108" s="1" t="s">
        <v>19</v>
      </c>
      <c r="C108" s="1">
        <v>26</v>
      </c>
      <c r="D108" s="2">
        <v>5201.9275349650334</v>
      </c>
      <c r="J108"/>
      <c r="N108" s="18"/>
      <c r="O108" s="18"/>
      <c r="P108" s="19"/>
      <c r="S108" s="18"/>
      <c r="T108" s="18"/>
      <c r="U108" s="19"/>
    </row>
    <row r="109" spans="1:21" x14ac:dyDescent="0.2">
      <c r="A109" s="1" t="s">
        <v>27</v>
      </c>
      <c r="B109" s="1" t="s">
        <v>2</v>
      </c>
      <c r="C109" s="1">
        <v>70</v>
      </c>
      <c r="D109" s="2">
        <v>31419.714285714283</v>
      </c>
      <c r="J109"/>
      <c r="N109" s="18"/>
      <c r="O109" s="18"/>
      <c r="P109" s="19"/>
      <c r="S109" s="18"/>
      <c r="T109" s="18"/>
      <c r="U109" s="19"/>
    </row>
    <row r="110" spans="1:21" x14ac:dyDescent="0.2">
      <c r="A110" s="1" t="s">
        <v>27</v>
      </c>
      <c r="B110" s="1" t="s">
        <v>3</v>
      </c>
      <c r="C110" s="1">
        <v>63</v>
      </c>
      <c r="D110" s="2">
        <v>10128.076197347626</v>
      </c>
      <c r="J110"/>
      <c r="N110" s="18"/>
      <c r="O110" s="18"/>
      <c r="P110" s="19"/>
      <c r="S110" s="18"/>
      <c r="T110" s="18"/>
      <c r="U110" s="19"/>
    </row>
    <row r="111" spans="1:21" x14ac:dyDescent="0.2">
      <c r="A111" s="1" t="s">
        <v>27</v>
      </c>
      <c r="B111" s="1" t="s">
        <v>4</v>
      </c>
      <c r="C111" s="1">
        <v>81</v>
      </c>
      <c r="D111" s="2">
        <v>19582.062031247231</v>
      </c>
      <c r="J111"/>
      <c r="N111" s="18"/>
      <c r="O111" s="18"/>
      <c r="P111" s="19"/>
      <c r="S111" s="18"/>
      <c r="T111" s="18"/>
      <c r="U111" s="19"/>
    </row>
    <row r="112" spans="1:21" x14ac:dyDescent="0.2">
      <c r="A112" s="1" t="s">
        <v>27</v>
      </c>
      <c r="B112" s="1" t="s">
        <v>6</v>
      </c>
      <c r="C112" s="1">
        <v>24</v>
      </c>
      <c r="D112" s="2">
        <v>16365.68983585859</v>
      </c>
      <c r="J112"/>
      <c r="N112" s="16"/>
      <c r="O112" s="16"/>
      <c r="P112" s="17"/>
      <c r="S112" s="16"/>
      <c r="T112" s="16"/>
      <c r="U112" s="17"/>
    </row>
    <row r="113" spans="1:21" x14ac:dyDescent="0.2">
      <c r="A113" s="1" t="s">
        <v>27</v>
      </c>
      <c r="B113" s="1" t="s">
        <v>7</v>
      </c>
      <c r="C113" s="1">
        <v>72</v>
      </c>
      <c r="D113" s="2">
        <v>13057.511088564213</v>
      </c>
      <c r="J113"/>
      <c r="N113" s="18"/>
      <c r="O113" s="18"/>
      <c r="P113" s="19"/>
      <c r="S113" s="18"/>
      <c r="T113" s="18"/>
      <c r="U113" s="19"/>
    </row>
    <row r="114" spans="1:21" x14ac:dyDescent="0.2">
      <c r="A114" s="1" t="s">
        <v>27</v>
      </c>
      <c r="B114" s="1" t="s">
        <v>8</v>
      </c>
      <c r="C114" s="1">
        <v>14</v>
      </c>
      <c r="D114" s="2">
        <v>16988.669495980212</v>
      </c>
      <c r="J114"/>
      <c r="N114" s="18"/>
      <c r="O114" s="18"/>
      <c r="P114" s="19"/>
      <c r="S114" s="18"/>
      <c r="T114" s="18"/>
      <c r="U114" s="19"/>
    </row>
    <row r="115" spans="1:21" x14ac:dyDescent="0.2">
      <c r="A115" s="1" t="s">
        <v>27</v>
      </c>
      <c r="B115" s="1" t="s">
        <v>9</v>
      </c>
      <c r="C115" s="1">
        <v>113</v>
      </c>
      <c r="D115" s="2">
        <v>6604.6215195571376</v>
      </c>
      <c r="J115"/>
      <c r="N115" s="18"/>
      <c r="O115" s="18"/>
      <c r="P115" s="19"/>
      <c r="S115" s="18"/>
      <c r="T115" s="18"/>
      <c r="U115" s="19"/>
    </row>
    <row r="116" spans="1:21" x14ac:dyDescent="0.2">
      <c r="A116" s="1" t="s">
        <v>27</v>
      </c>
      <c r="B116" s="1" t="s">
        <v>10</v>
      </c>
      <c r="C116" s="1">
        <v>33</v>
      </c>
      <c r="D116" s="2">
        <v>20671.131228956223</v>
      </c>
      <c r="J116"/>
      <c r="N116" s="18"/>
      <c r="O116" s="18"/>
      <c r="P116" s="19"/>
      <c r="S116" s="16"/>
      <c r="T116" s="16"/>
      <c r="U116" s="17"/>
    </row>
    <row r="117" spans="1:21" x14ac:dyDescent="0.2">
      <c r="A117" s="1" t="s">
        <v>27</v>
      </c>
      <c r="B117" s="1" t="s">
        <v>11</v>
      </c>
      <c r="C117" s="1">
        <v>11</v>
      </c>
      <c r="D117" s="2">
        <v>14012.07070707071</v>
      </c>
      <c r="J117"/>
      <c r="N117" s="18"/>
      <c r="O117" s="18"/>
      <c r="P117" s="19"/>
      <c r="S117" s="18"/>
      <c r="T117" s="18"/>
      <c r="U117" s="19"/>
    </row>
    <row r="118" spans="1:21" x14ac:dyDescent="0.2">
      <c r="A118" s="1" t="s">
        <v>27</v>
      </c>
      <c r="B118" s="1" t="s">
        <v>13</v>
      </c>
      <c r="C118" s="1">
        <v>63</v>
      </c>
      <c r="D118" s="2">
        <v>13120.332936507937</v>
      </c>
      <c r="J118"/>
      <c r="N118" s="18"/>
      <c r="O118" s="18"/>
      <c r="P118" s="19"/>
      <c r="S118" s="18"/>
      <c r="T118" s="18"/>
      <c r="U118" s="19"/>
    </row>
    <row r="119" spans="1:21" ht="15" thickBot="1" x14ac:dyDescent="0.25">
      <c r="A119" s="1" t="s">
        <v>27</v>
      </c>
      <c r="B119" s="1" t="s">
        <v>14</v>
      </c>
      <c r="C119" s="1">
        <v>47</v>
      </c>
      <c r="D119" s="2">
        <v>9074.0184826993373</v>
      </c>
      <c r="J119"/>
      <c r="N119" s="15"/>
      <c r="O119" s="15"/>
      <c r="P119" s="15"/>
      <c r="S119" s="16"/>
      <c r="T119" s="16"/>
      <c r="U119" s="17"/>
    </row>
    <row r="120" spans="1:21" x14ac:dyDescent="0.2">
      <c r="A120" s="1" t="s">
        <v>27</v>
      </c>
      <c r="B120" s="1" t="s">
        <v>15</v>
      </c>
      <c r="C120" s="1">
        <v>50</v>
      </c>
      <c r="D120" s="2">
        <v>19164.784979797987</v>
      </c>
      <c r="J120"/>
      <c r="N120" s="16"/>
      <c r="O120" s="16"/>
      <c r="P120" s="17"/>
      <c r="S120" s="18"/>
      <c r="T120" s="18"/>
      <c r="U120" s="19"/>
    </row>
    <row r="121" spans="1:21" x14ac:dyDescent="0.2">
      <c r="A121" s="1" t="s">
        <v>27</v>
      </c>
      <c r="B121" s="1" t="s">
        <v>16</v>
      </c>
      <c r="C121" s="1">
        <v>113</v>
      </c>
      <c r="D121" s="2">
        <v>12355.836028106602</v>
      </c>
      <c r="J121"/>
      <c r="N121" s="18"/>
      <c r="O121" s="18"/>
      <c r="P121" s="19"/>
    </row>
    <row r="122" spans="1:21" x14ac:dyDescent="0.2">
      <c r="A122" s="1" t="s">
        <v>27</v>
      </c>
      <c r="B122" s="1" t="s">
        <v>17</v>
      </c>
      <c r="C122" s="1">
        <v>54</v>
      </c>
      <c r="D122" s="2">
        <v>8811.067086205976</v>
      </c>
      <c r="J122"/>
      <c r="N122" s="18"/>
      <c r="O122" s="18"/>
      <c r="P122" s="19"/>
    </row>
    <row r="123" spans="1:21" x14ac:dyDescent="0.2">
      <c r="A123" s="1" t="s">
        <v>27</v>
      </c>
      <c r="B123" s="1" t="s">
        <v>18</v>
      </c>
      <c r="C123" s="1">
        <v>39</v>
      </c>
      <c r="D123" s="2">
        <v>11022.318945868945</v>
      </c>
      <c r="J123"/>
      <c r="N123" s="16"/>
      <c r="O123" s="16"/>
      <c r="P123" s="17"/>
    </row>
    <row r="124" spans="1:21" x14ac:dyDescent="0.2">
      <c r="A124" s="1" t="s">
        <v>27</v>
      </c>
      <c r="B124" s="1" t="s">
        <v>19</v>
      </c>
      <c r="C124" s="1">
        <v>39</v>
      </c>
      <c r="D124" s="2">
        <v>7249.2900284900279</v>
      </c>
      <c r="J124"/>
      <c r="N124" s="18"/>
      <c r="O124" s="18"/>
      <c r="P124" s="19"/>
    </row>
    <row r="125" spans="1:21" x14ac:dyDescent="0.2">
      <c r="A125" s="1" t="s">
        <v>28</v>
      </c>
      <c r="B125" s="1" t="s">
        <v>2</v>
      </c>
      <c r="C125" s="1">
        <v>333</v>
      </c>
      <c r="D125" s="2">
        <v>21899.434647584214</v>
      </c>
      <c r="J125"/>
      <c r="N125" s="16"/>
      <c r="O125" s="16"/>
      <c r="P125" s="17"/>
    </row>
    <row r="126" spans="1:21" x14ac:dyDescent="0.2">
      <c r="A126" s="1" t="s">
        <v>28</v>
      </c>
      <c r="B126" s="1" t="s">
        <v>3</v>
      </c>
      <c r="C126" s="1">
        <v>250</v>
      </c>
      <c r="D126" s="2">
        <v>10336.095893073591</v>
      </c>
      <c r="J126"/>
      <c r="N126" s="18"/>
      <c r="O126" s="18"/>
      <c r="P126" s="19"/>
    </row>
    <row r="127" spans="1:21" x14ac:dyDescent="0.2">
      <c r="A127" s="1" t="s">
        <v>28</v>
      </c>
      <c r="B127" s="1" t="s">
        <v>4</v>
      </c>
      <c r="C127" s="1">
        <v>424</v>
      </c>
      <c r="D127" s="2">
        <v>16164.33855340807</v>
      </c>
      <c r="J127"/>
      <c r="N127" s="18"/>
      <c r="O127" s="18"/>
      <c r="P127" s="19"/>
    </row>
    <row r="128" spans="1:21" x14ac:dyDescent="0.2">
      <c r="A128" s="1" t="s">
        <v>28</v>
      </c>
      <c r="B128" s="1" t="s">
        <v>5</v>
      </c>
      <c r="C128" s="1">
        <v>30</v>
      </c>
      <c r="D128" s="2">
        <v>16283.298922558923</v>
      </c>
      <c r="J128"/>
      <c r="N128" s="18"/>
      <c r="O128" s="18"/>
      <c r="P128" s="19"/>
    </row>
    <row r="129" spans="1:16" x14ac:dyDescent="0.2">
      <c r="A129" s="1" t="s">
        <v>28</v>
      </c>
      <c r="B129" s="1" t="s">
        <v>6</v>
      </c>
      <c r="C129" s="1">
        <v>135</v>
      </c>
      <c r="D129" s="2">
        <v>11930.476696328366</v>
      </c>
      <c r="J129"/>
      <c r="N129" s="16"/>
      <c r="O129" s="16"/>
      <c r="P129" s="17"/>
    </row>
    <row r="130" spans="1:16" x14ac:dyDescent="0.2">
      <c r="A130" s="1" t="s">
        <v>28</v>
      </c>
      <c r="B130" s="1" t="s">
        <v>7</v>
      </c>
      <c r="C130" s="1">
        <v>385</v>
      </c>
      <c r="D130" s="2">
        <v>10701.567242555428</v>
      </c>
      <c r="J130"/>
      <c r="N130" s="18"/>
      <c r="O130" s="18"/>
      <c r="P130" s="19"/>
    </row>
    <row r="131" spans="1:16" x14ac:dyDescent="0.2">
      <c r="A131" s="1" t="s">
        <v>28</v>
      </c>
      <c r="B131" s="1" t="s">
        <v>8</v>
      </c>
      <c r="C131" s="1">
        <v>117</v>
      </c>
      <c r="D131" s="2">
        <v>13066.502754344419</v>
      </c>
      <c r="J131"/>
      <c r="N131" s="18"/>
      <c r="O131" s="18"/>
      <c r="P131" s="19"/>
    </row>
    <row r="132" spans="1:16" x14ac:dyDescent="0.2">
      <c r="A132" s="1" t="s">
        <v>28</v>
      </c>
      <c r="B132" s="1" t="s">
        <v>9</v>
      </c>
      <c r="C132" s="1">
        <v>414</v>
      </c>
      <c r="D132" s="2">
        <v>6240.0622628981318</v>
      </c>
      <c r="J132"/>
      <c r="N132" s="18"/>
      <c r="O132" s="18"/>
      <c r="P132" s="19"/>
    </row>
    <row r="133" spans="1:16" x14ac:dyDescent="0.2">
      <c r="A133" s="1" t="s">
        <v>28</v>
      </c>
      <c r="B133" s="1" t="s">
        <v>10</v>
      </c>
      <c r="C133" s="1">
        <v>120</v>
      </c>
      <c r="D133" s="2">
        <v>19396.001287277544</v>
      </c>
      <c r="J133"/>
      <c r="N133" s="18"/>
      <c r="O133" s="18"/>
      <c r="P133" s="19"/>
    </row>
    <row r="134" spans="1:16" x14ac:dyDescent="0.2">
      <c r="A134" s="1" t="s">
        <v>28</v>
      </c>
      <c r="B134" s="1" t="s">
        <v>11</v>
      </c>
      <c r="C134" s="1">
        <v>68</v>
      </c>
      <c r="D134" s="2">
        <v>17209.7939171123</v>
      </c>
      <c r="J134"/>
      <c r="N134" s="16"/>
      <c r="O134" s="16"/>
      <c r="P134" s="17"/>
    </row>
    <row r="135" spans="1:16" x14ac:dyDescent="0.2">
      <c r="A135" s="1" t="s">
        <v>28</v>
      </c>
      <c r="B135" s="1" t="s">
        <v>12</v>
      </c>
      <c r="C135" s="1">
        <v>19</v>
      </c>
      <c r="D135" s="2">
        <v>12716.51134654819</v>
      </c>
      <c r="J135"/>
      <c r="N135" s="18"/>
      <c r="O135" s="18"/>
      <c r="P135" s="19"/>
    </row>
    <row r="136" spans="1:16" x14ac:dyDescent="0.2">
      <c r="A136" s="1" t="s">
        <v>28</v>
      </c>
      <c r="B136" s="1" t="s">
        <v>13</v>
      </c>
      <c r="C136" s="1">
        <v>266</v>
      </c>
      <c r="D136" s="2">
        <v>13841.933492416101</v>
      </c>
      <c r="J136"/>
      <c r="N136" s="18"/>
      <c r="O136" s="18"/>
      <c r="P136" s="19"/>
    </row>
    <row r="137" spans="1:16" x14ac:dyDescent="0.2">
      <c r="A137" s="1" t="s">
        <v>28</v>
      </c>
      <c r="B137" s="1" t="s">
        <v>14</v>
      </c>
      <c r="C137" s="1">
        <v>149</v>
      </c>
      <c r="D137" s="2">
        <v>8611.9161412785561</v>
      </c>
      <c r="J137"/>
      <c r="N137" s="18"/>
      <c r="O137" s="18"/>
      <c r="P137" s="19"/>
    </row>
    <row r="138" spans="1:16" x14ac:dyDescent="0.2">
      <c r="A138" s="1" t="s">
        <v>28</v>
      </c>
      <c r="B138" s="1" t="s">
        <v>15</v>
      </c>
      <c r="C138" s="1">
        <v>328</v>
      </c>
      <c r="D138" s="2">
        <v>13102.746687145849</v>
      </c>
      <c r="J138"/>
      <c r="N138" s="16"/>
      <c r="O138" s="16"/>
      <c r="P138" s="17"/>
    </row>
    <row r="139" spans="1:16" x14ac:dyDescent="0.2">
      <c r="A139" s="1" t="s">
        <v>28</v>
      </c>
      <c r="B139" s="1" t="s">
        <v>16</v>
      </c>
      <c r="C139" s="1">
        <v>477</v>
      </c>
      <c r="D139" s="2">
        <v>12015.843904982743</v>
      </c>
      <c r="J139"/>
      <c r="N139" s="18"/>
      <c r="O139" s="18"/>
      <c r="P139" s="19"/>
    </row>
    <row r="140" spans="1:16" x14ac:dyDescent="0.2">
      <c r="A140" s="1" t="s">
        <v>28</v>
      </c>
      <c r="B140" s="1" t="s">
        <v>17</v>
      </c>
      <c r="C140" s="1">
        <v>277</v>
      </c>
      <c r="D140" s="2">
        <v>9822.0944655424792</v>
      </c>
      <c r="J140"/>
      <c r="N140" s="18"/>
      <c r="O140" s="18"/>
      <c r="P140" s="19"/>
    </row>
    <row r="141" spans="1:16" x14ac:dyDescent="0.2">
      <c r="A141" s="1" t="s">
        <v>28</v>
      </c>
      <c r="B141" s="1" t="s">
        <v>18</v>
      </c>
      <c r="C141" s="1">
        <v>155</v>
      </c>
      <c r="D141" s="2">
        <v>7573.1065160824828</v>
      </c>
      <c r="J141"/>
      <c r="N141" s="16"/>
      <c r="O141" s="16"/>
      <c r="P141" s="17"/>
    </row>
    <row r="142" spans="1:16" x14ac:dyDescent="0.2">
      <c r="A142" s="1" t="s">
        <v>28</v>
      </c>
      <c r="B142" s="1" t="s">
        <v>19</v>
      </c>
      <c r="C142" s="1">
        <v>105</v>
      </c>
      <c r="D142" s="2">
        <v>8616.7586686593841</v>
      </c>
      <c r="J142"/>
    </row>
    <row r="143" spans="1:16" x14ac:dyDescent="0.2">
      <c r="A143" s="1" t="s">
        <v>29</v>
      </c>
      <c r="B143" s="1" t="s">
        <v>2</v>
      </c>
      <c r="C143" s="1">
        <v>67</v>
      </c>
      <c r="D143" s="2">
        <v>14226.379166666668</v>
      </c>
      <c r="J143"/>
    </row>
    <row r="144" spans="1:16" x14ac:dyDescent="0.2">
      <c r="A144" s="1" t="s">
        <v>29</v>
      </c>
      <c r="B144" s="1" t="s">
        <v>3</v>
      </c>
      <c r="C144" s="1">
        <v>161</v>
      </c>
      <c r="D144" s="2">
        <v>6527.6856714886226</v>
      </c>
      <c r="J144"/>
    </row>
    <row r="145" spans="1:10" x14ac:dyDescent="0.2">
      <c r="A145" s="1" t="s">
        <v>29</v>
      </c>
      <c r="B145" s="1" t="s">
        <v>4</v>
      </c>
      <c r="C145" s="1">
        <v>220</v>
      </c>
      <c r="D145" s="2">
        <v>8175.4169098452048</v>
      </c>
      <c r="J145"/>
    </row>
    <row r="146" spans="1:10" x14ac:dyDescent="0.2">
      <c r="A146" s="1" t="s">
        <v>29</v>
      </c>
      <c r="B146" s="1" t="s">
        <v>6</v>
      </c>
      <c r="C146" s="1">
        <v>1140</v>
      </c>
      <c r="D146" s="2">
        <v>7031.4896252310045</v>
      </c>
      <c r="J146"/>
    </row>
    <row r="147" spans="1:10" x14ac:dyDescent="0.2">
      <c r="A147" s="1" t="s">
        <v>29</v>
      </c>
      <c r="B147" s="1" t="s">
        <v>7</v>
      </c>
      <c r="C147" s="1">
        <v>610</v>
      </c>
      <c r="D147" s="2">
        <v>5291.9995673952599</v>
      </c>
      <c r="J147"/>
    </row>
    <row r="148" spans="1:10" x14ac:dyDescent="0.2">
      <c r="A148" s="1" t="s">
        <v>29</v>
      </c>
      <c r="B148" s="1" t="s">
        <v>8</v>
      </c>
      <c r="C148" s="1">
        <v>160</v>
      </c>
      <c r="D148" s="2">
        <v>6244.3752051767651</v>
      </c>
      <c r="J148"/>
    </row>
    <row r="149" spans="1:10" x14ac:dyDescent="0.2">
      <c r="A149" s="1" t="s">
        <v>29</v>
      </c>
      <c r="B149" s="1" t="s">
        <v>9</v>
      </c>
      <c r="C149" s="1">
        <v>363</v>
      </c>
      <c r="D149" s="2">
        <v>4738.7713803720026</v>
      </c>
      <c r="J149"/>
    </row>
    <row r="150" spans="1:10" x14ac:dyDescent="0.2">
      <c r="A150" s="1" t="s">
        <v>29</v>
      </c>
      <c r="B150" s="1" t="s">
        <v>10</v>
      </c>
      <c r="C150" s="1">
        <v>90</v>
      </c>
      <c r="D150" s="2">
        <v>15068.087752525249</v>
      </c>
      <c r="J150"/>
    </row>
    <row r="151" spans="1:10" x14ac:dyDescent="0.2">
      <c r="A151" s="1" t="s">
        <v>29</v>
      </c>
      <c r="B151" s="1" t="s">
        <v>11</v>
      </c>
      <c r="C151" s="1">
        <v>77</v>
      </c>
      <c r="D151" s="2">
        <v>7334.9983583516059</v>
      </c>
      <c r="J151"/>
    </row>
    <row r="152" spans="1:10" x14ac:dyDescent="0.2">
      <c r="A152" s="1" t="s">
        <v>29</v>
      </c>
      <c r="B152" s="1" t="s">
        <v>12</v>
      </c>
      <c r="C152" s="1">
        <v>35</v>
      </c>
      <c r="D152" s="2">
        <v>7089.7302886002899</v>
      </c>
      <c r="J152"/>
    </row>
    <row r="153" spans="1:10" x14ac:dyDescent="0.2">
      <c r="A153" s="1" t="s">
        <v>29</v>
      </c>
      <c r="B153" s="1" t="s">
        <v>13</v>
      </c>
      <c r="C153" s="1">
        <v>258</v>
      </c>
      <c r="D153" s="2">
        <v>7918.3716892065704</v>
      </c>
      <c r="J153"/>
    </row>
    <row r="154" spans="1:10" x14ac:dyDescent="0.2">
      <c r="A154" s="1" t="s">
        <v>29</v>
      </c>
      <c r="B154" s="1" t="s">
        <v>14</v>
      </c>
      <c r="C154" s="1">
        <v>301</v>
      </c>
      <c r="D154" s="2">
        <v>4238.0588249605698</v>
      </c>
      <c r="J154"/>
    </row>
    <row r="155" spans="1:10" x14ac:dyDescent="0.2">
      <c r="A155" s="1" t="s">
        <v>29</v>
      </c>
      <c r="B155" s="1" t="s">
        <v>15</v>
      </c>
      <c r="C155" s="1">
        <v>242</v>
      </c>
      <c r="D155" s="2">
        <v>12690.911977806409</v>
      </c>
      <c r="J155"/>
    </row>
    <row r="156" spans="1:10" x14ac:dyDescent="0.2">
      <c r="A156" s="1" t="s">
        <v>29</v>
      </c>
      <c r="B156" s="1" t="s">
        <v>16</v>
      </c>
      <c r="C156" s="1">
        <v>411</v>
      </c>
      <c r="D156" s="2">
        <v>11806.897905014701</v>
      </c>
      <c r="J156"/>
    </row>
    <row r="157" spans="1:10" x14ac:dyDescent="0.2">
      <c r="A157" s="1" t="s">
        <v>29</v>
      </c>
      <c r="B157" s="1" t="s">
        <v>17</v>
      </c>
      <c r="C157" s="1">
        <v>501</v>
      </c>
      <c r="D157" s="2">
        <v>7420.0699445265327</v>
      </c>
      <c r="J157"/>
    </row>
    <row r="158" spans="1:10" x14ac:dyDescent="0.2">
      <c r="A158" s="1" t="s">
        <v>29</v>
      </c>
      <c r="B158" s="1" t="s">
        <v>18</v>
      </c>
      <c r="C158" s="1">
        <v>177</v>
      </c>
      <c r="D158" s="2">
        <v>6119.6068915547748</v>
      </c>
      <c r="J158"/>
    </row>
    <row r="159" spans="1:10" x14ac:dyDescent="0.2">
      <c r="A159" s="1" t="s">
        <v>29</v>
      </c>
      <c r="B159" s="1" t="s">
        <v>19</v>
      </c>
      <c r="C159" s="1">
        <v>42</v>
      </c>
      <c r="D159" s="2">
        <v>5130.5196127946128</v>
      </c>
      <c r="J159"/>
    </row>
    <row r="160" spans="1:10" x14ac:dyDescent="0.2">
      <c r="A160" s="1" t="s">
        <v>30</v>
      </c>
      <c r="B160" s="1" t="s">
        <v>2</v>
      </c>
      <c r="C160" s="1">
        <v>74</v>
      </c>
      <c r="D160" s="2">
        <v>19350.75641025641</v>
      </c>
      <c r="J160"/>
    </row>
    <row r="161" spans="1:10" x14ac:dyDescent="0.2">
      <c r="A161" s="1" t="s">
        <v>30</v>
      </c>
      <c r="B161" s="1" t="s">
        <v>3</v>
      </c>
      <c r="C161" s="1">
        <v>60</v>
      </c>
      <c r="D161" s="2">
        <v>8515.4064905002397</v>
      </c>
      <c r="J161"/>
    </row>
    <row r="162" spans="1:10" x14ac:dyDescent="0.2">
      <c r="A162" s="1" t="s">
        <v>30</v>
      </c>
      <c r="B162" s="1" t="s">
        <v>4</v>
      </c>
      <c r="C162" s="1">
        <v>87</v>
      </c>
      <c r="D162" s="2">
        <v>15794.813950672564</v>
      </c>
      <c r="J162"/>
    </row>
    <row r="163" spans="1:10" x14ac:dyDescent="0.2">
      <c r="A163" s="1" t="s">
        <v>30</v>
      </c>
      <c r="B163" s="1" t="s">
        <v>6</v>
      </c>
      <c r="C163" s="1">
        <v>19</v>
      </c>
      <c r="D163" s="2">
        <v>9831.3964076858811</v>
      </c>
      <c r="J163"/>
    </row>
    <row r="164" spans="1:10" x14ac:dyDescent="0.2">
      <c r="A164" s="1" t="s">
        <v>30</v>
      </c>
      <c r="B164" s="1" t="s">
        <v>7</v>
      </c>
      <c r="C164" s="1">
        <v>77</v>
      </c>
      <c r="D164" s="2">
        <v>9068.5986071288044</v>
      </c>
      <c r="J164"/>
    </row>
    <row r="165" spans="1:10" x14ac:dyDescent="0.2">
      <c r="A165" s="1" t="s">
        <v>30</v>
      </c>
      <c r="B165" s="1" t="s">
        <v>8</v>
      </c>
      <c r="C165" s="1">
        <v>21</v>
      </c>
      <c r="D165" s="2">
        <v>14408.859668109668</v>
      </c>
      <c r="J165"/>
    </row>
    <row r="166" spans="1:10" x14ac:dyDescent="0.2">
      <c r="A166" s="1" t="s">
        <v>30</v>
      </c>
      <c r="B166" s="1" t="s">
        <v>9</v>
      </c>
      <c r="C166" s="1">
        <v>127</v>
      </c>
      <c r="D166" s="2">
        <v>6180.8877086386947</v>
      </c>
      <c r="J166"/>
    </row>
    <row r="167" spans="1:10" x14ac:dyDescent="0.2">
      <c r="A167" s="1" t="s">
        <v>30</v>
      </c>
      <c r="B167" s="1" t="s">
        <v>10</v>
      </c>
      <c r="C167" s="1">
        <v>40</v>
      </c>
      <c r="D167" s="2">
        <v>21579.194375901872</v>
      </c>
      <c r="J167"/>
    </row>
    <row r="168" spans="1:10" x14ac:dyDescent="0.2">
      <c r="A168" s="1" t="s">
        <v>30</v>
      </c>
      <c r="B168" s="1" t="s">
        <v>11</v>
      </c>
      <c r="C168" s="1">
        <v>11</v>
      </c>
      <c r="D168" s="2">
        <v>22313.839761248852</v>
      </c>
      <c r="J168"/>
    </row>
    <row r="169" spans="1:10" x14ac:dyDescent="0.2">
      <c r="A169" s="1" t="s">
        <v>30</v>
      </c>
      <c r="B169" s="1" t="s">
        <v>13</v>
      </c>
      <c r="C169" s="1">
        <v>85</v>
      </c>
      <c r="D169" s="2">
        <v>11060.984783125368</v>
      </c>
      <c r="J169"/>
    </row>
    <row r="170" spans="1:10" x14ac:dyDescent="0.2">
      <c r="A170" s="1" t="s">
        <v>30</v>
      </c>
      <c r="B170" s="1" t="s">
        <v>14</v>
      </c>
      <c r="C170" s="1">
        <v>38</v>
      </c>
      <c r="D170" s="2">
        <v>7793.7120072909547</v>
      </c>
      <c r="J170"/>
    </row>
    <row r="171" spans="1:10" x14ac:dyDescent="0.2">
      <c r="A171" s="1" t="s">
        <v>30</v>
      </c>
      <c r="B171" s="1" t="s">
        <v>15</v>
      </c>
      <c r="C171" s="1">
        <v>60</v>
      </c>
      <c r="D171" s="2">
        <v>12903.207845719095</v>
      </c>
      <c r="J171"/>
    </row>
    <row r="172" spans="1:10" x14ac:dyDescent="0.2">
      <c r="A172" s="1" t="s">
        <v>30</v>
      </c>
      <c r="B172" s="1" t="s">
        <v>16</v>
      </c>
      <c r="C172" s="1">
        <v>144</v>
      </c>
      <c r="D172" s="2">
        <v>11140.562569394337</v>
      </c>
      <c r="J172"/>
    </row>
    <row r="173" spans="1:10" x14ac:dyDescent="0.2">
      <c r="A173" s="1" t="s">
        <v>30</v>
      </c>
      <c r="B173" s="1" t="s">
        <v>17</v>
      </c>
      <c r="C173" s="1">
        <v>76</v>
      </c>
      <c r="D173" s="2">
        <v>10345.508393616617</v>
      </c>
      <c r="J173"/>
    </row>
    <row r="174" spans="1:10" x14ac:dyDescent="0.2">
      <c r="A174" s="1" t="s">
        <v>30</v>
      </c>
      <c r="B174" s="1" t="s">
        <v>18</v>
      </c>
      <c r="C174" s="1">
        <v>54</v>
      </c>
      <c r="D174" s="2">
        <v>4683.1990313184742</v>
      </c>
      <c r="J174"/>
    </row>
    <row r="175" spans="1:10" x14ac:dyDescent="0.2">
      <c r="A175" s="1" t="s">
        <v>30</v>
      </c>
      <c r="B175" s="1" t="s">
        <v>19</v>
      </c>
      <c r="C175" s="1">
        <v>45</v>
      </c>
      <c r="D175" s="2">
        <v>6827.8131569664902</v>
      </c>
      <c r="J175"/>
    </row>
    <row r="176" spans="1:10" x14ac:dyDescent="0.2">
      <c r="A176" s="1" t="s">
        <v>31</v>
      </c>
      <c r="B176" s="1" t="s">
        <v>2</v>
      </c>
      <c r="C176" s="1">
        <v>32</v>
      </c>
      <c r="D176" s="2">
        <v>9845.4</v>
      </c>
      <c r="J176"/>
    </row>
    <row r="177" spans="1:10" x14ac:dyDescent="0.2">
      <c r="A177" s="1" t="s">
        <v>31</v>
      </c>
      <c r="B177" s="1" t="s">
        <v>3</v>
      </c>
      <c r="C177" s="1">
        <v>125</v>
      </c>
      <c r="D177" s="2">
        <v>6644.891424819627</v>
      </c>
      <c r="J177"/>
    </row>
    <row r="178" spans="1:10" x14ac:dyDescent="0.2">
      <c r="A178" s="1" t="s">
        <v>31</v>
      </c>
      <c r="B178" s="1" t="s">
        <v>4</v>
      </c>
      <c r="C178" s="1">
        <v>72</v>
      </c>
      <c r="D178" s="2">
        <v>9168.3749378707726</v>
      </c>
      <c r="J178"/>
    </row>
    <row r="179" spans="1:10" x14ac:dyDescent="0.2">
      <c r="A179" s="1" t="s">
        <v>31</v>
      </c>
      <c r="B179" s="1" t="s">
        <v>5</v>
      </c>
      <c r="C179" s="1">
        <v>11</v>
      </c>
      <c r="D179" s="2">
        <v>8825.6962121212109</v>
      </c>
      <c r="J179"/>
    </row>
    <row r="180" spans="1:10" x14ac:dyDescent="0.2">
      <c r="A180" s="1" t="s">
        <v>31</v>
      </c>
      <c r="B180" s="1" t="s">
        <v>6</v>
      </c>
      <c r="C180" s="1">
        <v>415</v>
      </c>
      <c r="D180" s="2">
        <v>5864.9368812914026</v>
      </c>
      <c r="J180"/>
    </row>
    <row r="181" spans="1:10" x14ac:dyDescent="0.2">
      <c r="A181" s="1" t="s">
        <v>31</v>
      </c>
      <c r="B181" s="1" t="s">
        <v>7</v>
      </c>
      <c r="C181" s="1">
        <v>211</v>
      </c>
      <c r="D181" s="2">
        <v>5265.7241465090974</v>
      </c>
      <c r="J181"/>
    </row>
    <row r="182" spans="1:10" x14ac:dyDescent="0.2">
      <c r="A182" s="1" t="s">
        <v>31</v>
      </c>
      <c r="B182" s="1" t="s">
        <v>8</v>
      </c>
      <c r="C182" s="1">
        <v>69</v>
      </c>
      <c r="D182" s="2">
        <v>5562.7779424681567</v>
      </c>
      <c r="J182"/>
    </row>
    <row r="183" spans="1:10" x14ac:dyDescent="0.2">
      <c r="A183" s="1" t="s">
        <v>31</v>
      </c>
      <c r="B183" s="1" t="s">
        <v>9</v>
      </c>
      <c r="C183" s="1">
        <v>110</v>
      </c>
      <c r="D183" s="2">
        <v>4900.0959084350015</v>
      </c>
      <c r="J183"/>
    </row>
    <row r="184" spans="1:10" x14ac:dyDescent="0.2">
      <c r="A184" s="1" t="s">
        <v>31</v>
      </c>
      <c r="B184" s="1" t="s">
        <v>10</v>
      </c>
      <c r="C184" s="1">
        <v>15</v>
      </c>
      <c r="D184" s="2">
        <v>18766.000072150069</v>
      </c>
      <c r="J184"/>
    </row>
    <row r="185" spans="1:10" x14ac:dyDescent="0.2">
      <c r="A185" s="1" t="s">
        <v>31</v>
      </c>
      <c r="B185" s="1" t="s">
        <v>11</v>
      </c>
      <c r="C185" s="1">
        <v>10</v>
      </c>
      <c r="D185" s="2">
        <v>9229.9967460317457</v>
      </c>
      <c r="J185"/>
    </row>
    <row r="186" spans="1:10" x14ac:dyDescent="0.2">
      <c r="A186" s="1" t="s">
        <v>31</v>
      </c>
      <c r="B186" s="1" t="s">
        <v>13</v>
      </c>
      <c r="C186" s="1">
        <v>44</v>
      </c>
      <c r="D186" s="2">
        <v>8918.580510461763</v>
      </c>
      <c r="J186"/>
    </row>
    <row r="187" spans="1:10" x14ac:dyDescent="0.2">
      <c r="A187" s="1" t="s">
        <v>31</v>
      </c>
      <c r="B187" s="1" t="s">
        <v>14</v>
      </c>
      <c r="C187" s="1">
        <v>106</v>
      </c>
      <c r="D187" s="2">
        <v>3370.0070693457483</v>
      </c>
      <c r="J187"/>
    </row>
    <row r="188" spans="1:10" x14ac:dyDescent="0.2">
      <c r="A188" s="1" t="s">
        <v>31</v>
      </c>
      <c r="B188" s="1" t="s">
        <v>15</v>
      </c>
      <c r="C188" s="1">
        <v>99</v>
      </c>
      <c r="D188" s="2">
        <v>11221.243104566589</v>
      </c>
      <c r="J188"/>
    </row>
    <row r="189" spans="1:10" x14ac:dyDescent="0.2">
      <c r="A189" s="1" t="s">
        <v>31</v>
      </c>
      <c r="B189" s="1" t="s">
        <v>16</v>
      </c>
      <c r="C189" s="1">
        <v>127</v>
      </c>
      <c r="D189" s="2">
        <v>12095.371557248525</v>
      </c>
      <c r="J189"/>
    </row>
    <row r="190" spans="1:10" x14ac:dyDescent="0.2">
      <c r="A190" s="1" t="s">
        <v>31</v>
      </c>
      <c r="B190" s="1" t="s">
        <v>17</v>
      </c>
      <c r="C190" s="1">
        <v>210</v>
      </c>
      <c r="D190" s="2">
        <v>7518.8261286332718</v>
      </c>
      <c r="J190"/>
    </row>
    <row r="191" spans="1:10" x14ac:dyDescent="0.2">
      <c r="A191" s="1" t="s">
        <v>31</v>
      </c>
      <c r="B191" s="1" t="s">
        <v>18</v>
      </c>
      <c r="C191" s="1">
        <v>27</v>
      </c>
      <c r="D191" s="2">
        <v>6735.4130604991697</v>
      </c>
      <c r="J191"/>
    </row>
    <row r="192" spans="1:10" x14ac:dyDescent="0.2">
      <c r="A192" s="1" t="s">
        <v>31</v>
      </c>
      <c r="B192" s="1" t="s">
        <v>19</v>
      </c>
      <c r="C192" s="1">
        <v>11</v>
      </c>
      <c r="D192" s="2">
        <v>4478.4348484848488</v>
      </c>
      <c r="J192"/>
    </row>
    <row r="193" spans="1:10" x14ac:dyDescent="0.2">
      <c r="A193" s="1" t="s">
        <v>32</v>
      </c>
      <c r="B193" s="1" t="s">
        <v>2</v>
      </c>
      <c r="C193" s="1">
        <v>533</v>
      </c>
      <c r="D193" s="2">
        <v>19639.185535823606</v>
      </c>
      <c r="J193"/>
    </row>
    <row r="194" spans="1:10" x14ac:dyDescent="0.2">
      <c r="A194" s="1" t="s">
        <v>32</v>
      </c>
      <c r="B194" s="1" t="s">
        <v>3</v>
      </c>
      <c r="C194" s="1">
        <v>501</v>
      </c>
      <c r="D194" s="2">
        <v>8464.6352345093383</v>
      </c>
      <c r="J194"/>
    </row>
    <row r="195" spans="1:10" x14ac:dyDescent="0.2">
      <c r="A195" s="1" t="s">
        <v>32</v>
      </c>
      <c r="B195" s="1" t="s">
        <v>24</v>
      </c>
      <c r="C195" s="1">
        <v>20</v>
      </c>
      <c r="D195" s="2">
        <v>16193.650357142862</v>
      </c>
      <c r="J195"/>
    </row>
    <row r="196" spans="1:10" x14ac:dyDescent="0.2">
      <c r="A196" s="1" t="s">
        <v>32</v>
      </c>
      <c r="B196" s="1" t="s">
        <v>4</v>
      </c>
      <c r="C196" s="1">
        <v>831</v>
      </c>
      <c r="D196" s="2">
        <v>12319.340169400732</v>
      </c>
      <c r="J196"/>
    </row>
    <row r="197" spans="1:10" x14ac:dyDescent="0.2">
      <c r="A197" s="1" t="s">
        <v>32</v>
      </c>
      <c r="B197" s="1" t="s">
        <v>22</v>
      </c>
      <c r="C197" s="1">
        <v>17</v>
      </c>
      <c r="D197" s="2">
        <v>27308.107843137259</v>
      </c>
      <c r="J197"/>
    </row>
    <row r="198" spans="1:10" x14ac:dyDescent="0.2">
      <c r="A198" s="1" t="s">
        <v>32</v>
      </c>
      <c r="B198" s="1" t="s">
        <v>5</v>
      </c>
      <c r="C198" s="1">
        <v>63</v>
      </c>
      <c r="D198" s="2">
        <v>16295.3905615108</v>
      </c>
      <c r="J198"/>
    </row>
    <row r="199" spans="1:10" x14ac:dyDescent="0.2">
      <c r="A199" s="1" t="s">
        <v>32</v>
      </c>
      <c r="B199" s="1" t="s">
        <v>6</v>
      </c>
      <c r="C199" s="1">
        <v>262</v>
      </c>
      <c r="D199" s="2">
        <v>11270.167092957932</v>
      </c>
      <c r="J199"/>
    </row>
    <row r="200" spans="1:10" x14ac:dyDescent="0.2">
      <c r="A200" s="1" t="s">
        <v>32</v>
      </c>
      <c r="B200" s="1" t="s">
        <v>7</v>
      </c>
      <c r="C200" s="1">
        <v>681</v>
      </c>
      <c r="D200" s="2">
        <v>8212.5715185206354</v>
      </c>
      <c r="J200"/>
    </row>
    <row r="201" spans="1:10" x14ac:dyDescent="0.2">
      <c r="A201" s="1" t="s">
        <v>32</v>
      </c>
      <c r="B201" s="1" t="s">
        <v>8</v>
      </c>
      <c r="C201" s="1">
        <v>223</v>
      </c>
      <c r="D201" s="2">
        <v>11717.250054355214</v>
      </c>
      <c r="J201"/>
    </row>
    <row r="202" spans="1:10" x14ac:dyDescent="0.2">
      <c r="A202" s="1" t="s">
        <v>32</v>
      </c>
      <c r="B202" s="1" t="s">
        <v>9</v>
      </c>
      <c r="C202" s="1">
        <v>570</v>
      </c>
      <c r="D202" s="2">
        <v>5020.8118057137826</v>
      </c>
      <c r="J202"/>
    </row>
    <row r="203" spans="1:10" x14ac:dyDescent="0.2">
      <c r="A203" s="1" t="s">
        <v>32</v>
      </c>
      <c r="B203" s="1" t="s">
        <v>10</v>
      </c>
      <c r="C203" s="1">
        <v>164</v>
      </c>
      <c r="D203" s="2">
        <v>22659.504406873621</v>
      </c>
      <c r="J203"/>
    </row>
    <row r="204" spans="1:10" x14ac:dyDescent="0.2">
      <c r="A204" s="1" t="s">
        <v>32</v>
      </c>
      <c r="B204" s="1" t="s">
        <v>11</v>
      </c>
      <c r="C204" s="1">
        <v>106</v>
      </c>
      <c r="D204" s="2">
        <v>15233.819864412317</v>
      </c>
      <c r="J204"/>
    </row>
    <row r="205" spans="1:10" x14ac:dyDescent="0.2">
      <c r="A205" s="1" t="s">
        <v>32</v>
      </c>
      <c r="B205" s="1" t="s">
        <v>12</v>
      </c>
      <c r="C205" s="1">
        <v>32</v>
      </c>
      <c r="D205" s="2">
        <v>13351.018623737375</v>
      </c>
      <c r="J205"/>
    </row>
    <row r="206" spans="1:10" x14ac:dyDescent="0.2">
      <c r="A206" s="1" t="s">
        <v>32</v>
      </c>
      <c r="B206" s="1" t="s">
        <v>13</v>
      </c>
      <c r="C206" s="1">
        <v>269</v>
      </c>
      <c r="D206" s="2">
        <v>13640.292989909716</v>
      </c>
      <c r="J206"/>
    </row>
    <row r="207" spans="1:10" x14ac:dyDescent="0.2">
      <c r="A207" s="1" t="s">
        <v>32</v>
      </c>
      <c r="B207" s="1" t="s">
        <v>14</v>
      </c>
      <c r="C207" s="1">
        <v>408</v>
      </c>
      <c r="D207" s="2">
        <v>5844.3816671618115</v>
      </c>
      <c r="J207"/>
    </row>
    <row r="208" spans="1:10" x14ac:dyDescent="0.2">
      <c r="A208" s="1" t="s">
        <v>32</v>
      </c>
      <c r="B208" s="1" t="s">
        <v>15</v>
      </c>
      <c r="C208" s="1">
        <v>678</v>
      </c>
      <c r="D208" s="2">
        <v>11709.380846337379</v>
      </c>
      <c r="J208"/>
    </row>
    <row r="209" spans="1:10" x14ac:dyDescent="0.2">
      <c r="A209" s="1" t="s">
        <v>32</v>
      </c>
      <c r="B209" s="1" t="s">
        <v>16</v>
      </c>
      <c r="C209" s="1">
        <v>863</v>
      </c>
      <c r="D209" s="2">
        <v>10470.028847948121</v>
      </c>
      <c r="J209"/>
    </row>
    <row r="210" spans="1:10" x14ac:dyDescent="0.2">
      <c r="A210" s="1" t="s">
        <v>32</v>
      </c>
      <c r="B210" s="1" t="s">
        <v>17</v>
      </c>
      <c r="C210" s="1">
        <v>525</v>
      </c>
      <c r="D210" s="2">
        <v>7991.3618198309605</v>
      </c>
      <c r="J210"/>
    </row>
    <row r="211" spans="1:10" x14ac:dyDescent="0.2">
      <c r="A211" s="1" t="s">
        <v>32</v>
      </c>
      <c r="B211" s="1" t="s">
        <v>18</v>
      </c>
      <c r="C211" s="1">
        <v>116</v>
      </c>
      <c r="D211" s="2">
        <v>6717.4959459123229</v>
      </c>
      <c r="J211"/>
    </row>
    <row r="212" spans="1:10" x14ac:dyDescent="0.2">
      <c r="A212" s="1" t="s">
        <v>32</v>
      </c>
      <c r="B212" s="1" t="s">
        <v>19</v>
      </c>
      <c r="C212" s="1">
        <v>195</v>
      </c>
      <c r="D212" s="2">
        <v>7403.7476107226139</v>
      </c>
      <c r="J212"/>
    </row>
    <row r="213" spans="1:10" x14ac:dyDescent="0.2">
      <c r="A213" s="1" t="s">
        <v>33</v>
      </c>
      <c r="B213" s="1" t="s">
        <v>2</v>
      </c>
      <c r="C213" s="1">
        <v>12</v>
      </c>
      <c r="D213" s="2">
        <v>11717.916666666668</v>
      </c>
      <c r="J213"/>
    </row>
    <row r="214" spans="1:10" x14ac:dyDescent="0.2">
      <c r="A214" s="1" t="s">
        <v>33</v>
      </c>
      <c r="B214" s="1" t="s">
        <v>3</v>
      </c>
      <c r="C214" s="1">
        <v>105</v>
      </c>
      <c r="D214" s="2">
        <v>7039.0754627911729</v>
      </c>
      <c r="J214"/>
    </row>
    <row r="215" spans="1:10" x14ac:dyDescent="0.2">
      <c r="A215" s="1" t="s">
        <v>33</v>
      </c>
      <c r="B215" s="1" t="s">
        <v>4</v>
      </c>
      <c r="C215" s="1">
        <v>264</v>
      </c>
      <c r="D215" s="2">
        <v>9719.5181201899941</v>
      </c>
      <c r="J215"/>
    </row>
    <row r="216" spans="1:10" x14ac:dyDescent="0.2">
      <c r="A216" s="1" t="s">
        <v>33</v>
      </c>
      <c r="B216" s="1" t="s">
        <v>6</v>
      </c>
      <c r="C216" s="1">
        <v>77</v>
      </c>
      <c r="D216" s="2">
        <v>7802.4663419913431</v>
      </c>
      <c r="J216"/>
    </row>
    <row r="217" spans="1:10" x14ac:dyDescent="0.2">
      <c r="A217" s="1" t="s">
        <v>33</v>
      </c>
      <c r="B217" s="1" t="s">
        <v>7</v>
      </c>
      <c r="C217" s="1">
        <v>121</v>
      </c>
      <c r="D217" s="2">
        <v>5685.8529310221429</v>
      </c>
      <c r="J217"/>
    </row>
    <row r="218" spans="1:10" x14ac:dyDescent="0.2">
      <c r="A218" s="1" t="s">
        <v>33</v>
      </c>
      <c r="B218" s="1" t="s">
        <v>8</v>
      </c>
      <c r="C218" s="1">
        <v>61</v>
      </c>
      <c r="D218" s="2">
        <v>7834.7967479242052</v>
      </c>
      <c r="J218"/>
    </row>
    <row r="219" spans="1:10" x14ac:dyDescent="0.2">
      <c r="A219" s="1" t="s">
        <v>33</v>
      </c>
      <c r="B219" s="1" t="s">
        <v>9</v>
      </c>
      <c r="C219" s="1">
        <v>153</v>
      </c>
      <c r="D219" s="2">
        <v>6726.882861528451</v>
      </c>
      <c r="J219"/>
    </row>
    <row r="220" spans="1:10" x14ac:dyDescent="0.2">
      <c r="A220" s="1" t="s">
        <v>33</v>
      </c>
      <c r="B220" s="1" t="s">
        <v>10</v>
      </c>
      <c r="C220" s="1">
        <v>13</v>
      </c>
      <c r="D220" s="2">
        <v>12584.333333333334</v>
      </c>
      <c r="J220"/>
    </row>
    <row r="221" spans="1:10" x14ac:dyDescent="0.2">
      <c r="A221" s="1" t="s">
        <v>33</v>
      </c>
      <c r="B221" s="1" t="s">
        <v>13</v>
      </c>
      <c r="C221" s="1">
        <v>40</v>
      </c>
      <c r="D221" s="2">
        <v>10103.631051587301</v>
      </c>
      <c r="J221"/>
    </row>
    <row r="222" spans="1:10" x14ac:dyDescent="0.2">
      <c r="A222" s="1" t="s">
        <v>33</v>
      </c>
      <c r="B222" s="1" t="s">
        <v>14</v>
      </c>
      <c r="C222" s="1">
        <v>215</v>
      </c>
      <c r="D222" s="2">
        <v>5171.842576932112</v>
      </c>
      <c r="J222"/>
    </row>
    <row r="223" spans="1:10" x14ac:dyDescent="0.2">
      <c r="A223" s="1" t="s">
        <v>33</v>
      </c>
      <c r="B223" s="1" t="s">
        <v>15</v>
      </c>
      <c r="C223" s="1">
        <v>69</v>
      </c>
      <c r="D223" s="2">
        <v>14766.594486793403</v>
      </c>
      <c r="J223"/>
    </row>
    <row r="224" spans="1:10" x14ac:dyDescent="0.2">
      <c r="A224" s="1" t="s">
        <v>33</v>
      </c>
      <c r="B224" s="1" t="s">
        <v>16</v>
      </c>
      <c r="C224" s="1">
        <v>114</v>
      </c>
      <c r="D224" s="2">
        <v>13214.993088149668</v>
      </c>
      <c r="J224"/>
    </row>
    <row r="225" spans="1:10" x14ac:dyDescent="0.2">
      <c r="A225" s="1" t="s">
        <v>33</v>
      </c>
      <c r="B225" s="1" t="s">
        <v>17</v>
      </c>
      <c r="C225" s="1">
        <v>82</v>
      </c>
      <c r="D225" s="2">
        <v>11708.727741262801</v>
      </c>
      <c r="J225"/>
    </row>
    <row r="226" spans="1:10" x14ac:dyDescent="0.2">
      <c r="A226" s="1" t="s">
        <v>33</v>
      </c>
      <c r="B226" s="1" t="s">
        <v>18</v>
      </c>
      <c r="C226" s="1">
        <v>28</v>
      </c>
      <c r="D226" s="2">
        <v>9376.6056818181805</v>
      </c>
      <c r="J226"/>
    </row>
    <row r="227" spans="1:10" x14ac:dyDescent="0.2">
      <c r="A227" s="1" t="s">
        <v>34</v>
      </c>
      <c r="B227" s="1" t="s">
        <v>2</v>
      </c>
      <c r="C227" s="1">
        <v>23</v>
      </c>
      <c r="D227" s="2">
        <v>19711.458333333332</v>
      </c>
      <c r="J227"/>
    </row>
    <row r="228" spans="1:10" x14ac:dyDescent="0.2">
      <c r="A228" s="1" t="s">
        <v>34</v>
      </c>
      <c r="B228" s="1" t="s">
        <v>3</v>
      </c>
      <c r="C228" s="1">
        <v>139</v>
      </c>
      <c r="D228" s="2">
        <v>5924.1884012270693</v>
      </c>
      <c r="J228"/>
    </row>
    <row r="229" spans="1:10" x14ac:dyDescent="0.2">
      <c r="A229" s="1" t="s">
        <v>34</v>
      </c>
      <c r="B229" s="1" t="s">
        <v>4</v>
      </c>
      <c r="C229" s="1">
        <v>104</v>
      </c>
      <c r="D229" s="2">
        <v>10501.483927183932</v>
      </c>
      <c r="J229"/>
    </row>
    <row r="230" spans="1:10" x14ac:dyDescent="0.2">
      <c r="A230" s="1" t="s">
        <v>34</v>
      </c>
      <c r="B230" s="1" t="s">
        <v>6</v>
      </c>
      <c r="C230" s="1">
        <v>145</v>
      </c>
      <c r="D230" s="2">
        <v>5486.3697534457879</v>
      </c>
      <c r="J230"/>
    </row>
    <row r="231" spans="1:10" x14ac:dyDescent="0.2">
      <c r="A231" s="1" t="s">
        <v>34</v>
      </c>
      <c r="B231" s="1" t="s">
        <v>7</v>
      </c>
      <c r="C231" s="1">
        <v>86</v>
      </c>
      <c r="D231" s="2">
        <v>5618.1849210543969</v>
      </c>
      <c r="J231"/>
    </row>
    <row r="232" spans="1:10" x14ac:dyDescent="0.2">
      <c r="A232" s="1" t="s">
        <v>34</v>
      </c>
      <c r="B232" s="1" t="s">
        <v>8</v>
      </c>
      <c r="C232" s="1">
        <v>63</v>
      </c>
      <c r="D232" s="2">
        <v>7378.7534546141706</v>
      </c>
      <c r="J232"/>
    </row>
    <row r="233" spans="1:10" x14ac:dyDescent="0.2">
      <c r="A233" s="1" t="s">
        <v>34</v>
      </c>
      <c r="B233" s="1" t="s">
        <v>9</v>
      </c>
      <c r="C233" s="1">
        <v>64</v>
      </c>
      <c r="D233" s="2">
        <v>6180.8398922258302</v>
      </c>
      <c r="J233"/>
    </row>
    <row r="234" spans="1:10" x14ac:dyDescent="0.2">
      <c r="A234" s="1" t="s">
        <v>34</v>
      </c>
      <c r="B234" s="1" t="s">
        <v>10</v>
      </c>
      <c r="C234" s="1">
        <v>12</v>
      </c>
      <c r="D234" s="2">
        <v>16050.122306397308</v>
      </c>
      <c r="J234"/>
    </row>
    <row r="235" spans="1:10" x14ac:dyDescent="0.2">
      <c r="A235" s="1" t="s">
        <v>34</v>
      </c>
      <c r="B235" s="1" t="s">
        <v>11</v>
      </c>
      <c r="C235" s="1">
        <v>14</v>
      </c>
      <c r="D235" s="2">
        <v>7188.8719078540516</v>
      </c>
      <c r="J235"/>
    </row>
    <row r="236" spans="1:10" x14ac:dyDescent="0.2">
      <c r="A236" s="1" t="s">
        <v>34</v>
      </c>
      <c r="B236" s="1" t="s">
        <v>13</v>
      </c>
      <c r="C236" s="1">
        <v>41</v>
      </c>
      <c r="D236" s="2">
        <v>8680.6804209340808</v>
      </c>
      <c r="J236"/>
    </row>
    <row r="237" spans="1:10" x14ac:dyDescent="0.2">
      <c r="A237" s="1" t="s">
        <v>34</v>
      </c>
      <c r="B237" s="1" t="s">
        <v>14</v>
      </c>
      <c r="C237" s="1">
        <v>53</v>
      </c>
      <c r="D237" s="2">
        <v>6310.0564914645092</v>
      </c>
      <c r="J237"/>
    </row>
    <row r="238" spans="1:10" x14ac:dyDescent="0.2">
      <c r="A238" s="1" t="s">
        <v>34</v>
      </c>
      <c r="B238" s="1" t="s">
        <v>15</v>
      </c>
      <c r="C238" s="1">
        <v>57</v>
      </c>
      <c r="D238" s="2">
        <v>12961.743669780508</v>
      </c>
      <c r="J238"/>
    </row>
    <row r="239" spans="1:10" x14ac:dyDescent="0.2">
      <c r="A239" s="1" t="s">
        <v>34</v>
      </c>
      <c r="B239" s="1" t="s">
        <v>16</v>
      </c>
      <c r="C239" s="1">
        <v>70</v>
      </c>
      <c r="D239" s="2">
        <v>11681.76281849103</v>
      </c>
      <c r="J239"/>
    </row>
    <row r="240" spans="1:10" x14ac:dyDescent="0.2">
      <c r="A240" s="1" t="s">
        <v>34</v>
      </c>
      <c r="B240" s="1" t="s">
        <v>17</v>
      </c>
      <c r="C240" s="1">
        <v>119</v>
      </c>
      <c r="D240" s="2">
        <v>7078.0426567596724</v>
      </c>
      <c r="J240"/>
    </row>
    <row r="241" spans="1:10" x14ac:dyDescent="0.2">
      <c r="A241" s="1" t="s">
        <v>34</v>
      </c>
      <c r="B241" s="1" t="s">
        <v>18</v>
      </c>
      <c r="C241" s="1">
        <v>62</v>
      </c>
      <c r="D241" s="2">
        <v>9902.9463680584631</v>
      </c>
      <c r="J241"/>
    </row>
    <row r="242" spans="1:10" x14ac:dyDescent="0.2">
      <c r="A242" s="1" t="s">
        <v>34</v>
      </c>
      <c r="B242" s="1" t="s">
        <v>19</v>
      </c>
      <c r="C242" s="1">
        <v>10</v>
      </c>
      <c r="D242" s="2">
        <v>5324.958333333333</v>
      </c>
      <c r="J242"/>
    </row>
    <row r="243" spans="1:10" x14ac:dyDescent="0.2">
      <c r="A243" s="1" t="s">
        <v>35</v>
      </c>
      <c r="B243" s="1" t="s">
        <v>2</v>
      </c>
      <c r="C243" s="1">
        <v>340</v>
      </c>
      <c r="D243" s="2">
        <v>16518.170724178457</v>
      </c>
      <c r="J243"/>
    </row>
    <row r="244" spans="1:10" x14ac:dyDescent="0.2">
      <c r="A244" s="1" t="s">
        <v>35</v>
      </c>
      <c r="B244" s="1" t="s">
        <v>3</v>
      </c>
      <c r="C244" s="1">
        <v>117</v>
      </c>
      <c r="D244" s="2">
        <v>9506.7849866183169</v>
      </c>
      <c r="J244"/>
    </row>
    <row r="245" spans="1:10" x14ac:dyDescent="0.2">
      <c r="A245" s="1" t="s">
        <v>35</v>
      </c>
      <c r="B245" s="1" t="s">
        <v>4</v>
      </c>
      <c r="C245" s="1">
        <v>1154</v>
      </c>
      <c r="D245" s="2">
        <v>9638.5483854701961</v>
      </c>
      <c r="J245"/>
    </row>
    <row r="246" spans="1:10" x14ac:dyDescent="0.2">
      <c r="A246" s="1" t="s">
        <v>35</v>
      </c>
      <c r="B246" s="1" t="s">
        <v>22</v>
      </c>
      <c r="C246" s="1">
        <v>27</v>
      </c>
      <c r="D246" s="2">
        <v>24387.812169312165</v>
      </c>
      <c r="J246"/>
    </row>
    <row r="247" spans="1:10" x14ac:dyDescent="0.2">
      <c r="A247" s="1" t="s">
        <v>35</v>
      </c>
      <c r="B247" s="1" t="s">
        <v>5</v>
      </c>
      <c r="C247" s="1">
        <v>50</v>
      </c>
      <c r="D247" s="2">
        <v>17979.423505050501</v>
      </c>
      <c r="J247"/>
    </row>
    <row r="248" spans="1:10" x14ac:dyDescent="0.2">
      <c r="A248" s="1" t="s">
        <v>35</v>
      </c>
      <c r="B248" s="1" t="s">
        <v>6</v>
      </c>
      <c r="C248" s="1">
        <v>398</v>
      </c>
      <c r="D248" s="2">
        <v>7943.8660223012612</v>
      </c>
      <c r="J248"/>
    </row>
    <row r="249" spans="1:10" x14ac:dyDescent="0.2">
      <c r="A249" s="1" t="s">
        <v>35</v>
      </c>
      <c r="B249" s="1" t="s">
        <v>7</v>
      </c>
      <c r="C249" s="1">
        <v>1595</v>
      </c>
      <c r="D249" s="2">
        <v>6157.4562458666278</v>
      </c>
      <c r="J249"/>
    </row>
    <row r="250" spans="1:10" x14ac:dyDescent="0.2">
      <c r="A250" s="1" t="s">
        <v>35</v>
      </c>
      <c r="B250" s="1" t="s">
        <v>8</v>
      </c>
      <c r="C250" s="1">
        <v>371</v>
      </c>
      <c r="D250" s="2">
        <v>8164.8045493440331</v>
      </c>
      <c r="J250"/>
    </row>
    <row r="251" spans="1:10" x14ac:dyDescent="0.2">
      <c r="A251" s="1" t="s">
        <v>35</v>
      </c>
      <c r="B251" s="1" t="s">
        <v>9</v>
      </c>
      <c r="C251" s="1">
        <v>1155</v>
      </c>
      <c r="D251" s="2">
        <v>4961.0818686244074</v>
      </c>
      <c r="J251"/>
    </row>
    <row r="252" spans="1:10" x14ac:dyDescent="0.2">
      <c r="A252" s="1" t="s">
        <v>35</v>
      </c>
      <c r="B252" s="1" t="s">
        <v>10</v>
      </c>
      <c r="C252" s="1">
        <v>230</v>
      </c>
      <c r="D252" s="2">
        <v>14574.163106844848</v>
      </c>
      <c r="J252"/>
    </row>
    <row r="253" spans="1:10" x14ac:dyDescent="0.2">
      <c r="A253" s="1" t="s">
        <v>35</v>
      </c>
      <c r="B253" s="1" t="s">
        <v>11</v>
      </c>
      <c r="C253" s="1">
        <v>122</v>
      </c>
      <c r="D253" s="2">
        <v>12649.364706491142</v>
      </c>
      <c r="J253"/>
    </row>
    <row r="254" spans="1:10" x14ac:dyDescent="0.2">
      <c r="A254" s="1" t="s">
        <v>35</v>
      </c>
      <c r="B254" s="1" t="s">
        <v>12</v>
      </c>
      <c r="C254" s="1">
        <v>74</v>
      </c>
      <c r="D254" s="2">
        <v>10402.495799208302</v>
      </c>
      <c r="J254"/>
    </row>
    <row r="255" spans="1:10" x14ac:dyDescent="0.2">
      <c r="A255" s="1" t="s">
        <v>35</v>
      </c>
      <c r="B255" s="1" t="s">
        <v>13</v>
      </c>
      <c r="C255" s="1">
        <v>457</v>
      </c>
      <c r="D255" s="2">
        <v>8666.5629135209601</v>
      </c>
      <c r="J255"/>
    </row>
    <row r="256" spans="1:10" x14ac:dyDescent="0.2">
      <c r="A256" s="1" t="s">
        <v>35</v>
      </c>
      <c r="B256" s="1" t="s">
        <v>14</v>
      </c>
      <c r="C256" s="1">
        <v>934</v>
      </c>
      <c r="D256" s="2">
        <v>5675.8051172091082</v>
      </c>
      <c r="J256"/>
    </row>
    <row r="257" spans="1:10" x14ac:dyDescent="0.2">
      <c r="A257" s="1" t="s">
        <v>35</v>
      </c>
      <c r="B257" s="1" t="s">
        <v>15</v>
      </c>
      <c r="C257" s="1">
        <v>1145</v>
      </c>
      <c r="D257" s="2">
        <v>11805.870531988638</v>
      </c>
      <c r="J257"/>
    </row>
    <row r="258" spans="1:10" x14ac:dyDescent="0.2">
      <c r="A258" s="1" t="s">
        <v>35</v>
      </c>
      <c r="B258" s="1" t="s">
        <v>16</v>
      </c>
      <c r="C258" s="1">
        <v>2793</v>
      </c>
      <c r="D258" s="2">
        <v>8290.0467153247191</v>
      </c>
      <c r="J258"/>
    </row>
    <row r="259" spans="1:10" x14ac:dyDescent="0.2">
      <c r="A259" s="1" t="s">
        <v>35</v>
      </c>
      <c r="B259" s="1" t="s">
        <v>17</v>
      </c>
      <c r="C259" s="1">
        <v>1884</v>
      </c>
      <c r="D259" s="2">
        <v>5791.2435058233259</v>
      </c>
      <c r="J259"/>
    </row>
    <row r="260" spans="1:10" x14ac:dyDescent="0.2">
      <c r="A260" s="1" t="s">
        <v>35</v>
      </c>
      <c r="B260" s="1" t="s">
        <v>18</v>
      </c>
      <c r="C260" s="1">
        <v>195</v>
      </c>
      <c r="D260" s="2">
        <v>4558.9667360417343</v>
      </c>
      <c r="J260"/>
    </row>
    <row r="261" spans="1:10" x14ac:dyDescent="0.2">
      <c r="A261" s="1" t="s">
        <v>35</v>
      </c>
      <c r="B261" s="1" t="s">
        <v>19</v>
      </c>
      <c r="C261" s="1">
        <v>815</v>
      </c>
      <c r="D261" s="2">
        <v>4731.7828181906707</v>
      </c>
      <c r="J261"/>
    </row>
    <row r="262" spans="1:10" x14ac:dyDescent="0.2">
      <c r="A262" s="1" t="s">
        <v>36</v>
      </c>
      <c r="B262" s="1" t="s">
        <v>2</v>
      </c>
      <c r="C262" s="1">
        <v>134</v>
      </c>
      <c r="D262" s="2">
        <v>18495.794999999995</v>
      </c>
      <c r="J262"/>
    </row>
    <row r="263" spans="1:10" x14ac:dyDescent="0.2">
      <c r="A263" s="1" t="s">
        <v>36</v>
      </c>
      <c r="B263" s="1" t="s">
        <v>3</v>
      </c>
      <c r="C263" s="1">
        <v>121</v>
      </c>
      <c r="D263" s="2">
        <v>7224.6457893575653</v>
      </c>
      <c r="J263"/>
    </row>
    <row r="264" spans="1:10" x14ac:dyDescent="0.2">
      <c r="A264" s="1" t="s">
        <v>36</v>
      </c>
      <c r="B264" s="1" t="s">
        <v>4</v>
      </c>
      <c r="C264" s="1">
        <v>664</v>
      </c>
      <c r="D264" s="2">
        <v>10505.583509307799</v>
      </c>
      <c r="J264"/>
    </row>
    <row r="265" spans="1:10" x14ac:dyDescent="0.2">
      <c r="A265" s="1" t="s">
        <v>36</v>
      </c>
      <c r="B265" s="1" t="s">
        <v>5</v>
      </c>
      <c r="C265" s="1">
        <v>11</v>
      </c>
      <c r="D265" s="2">
        <v>15036.550865800866</v>
      </c>
      <c r="J265"/>
    </row>
    <row r="266" spans="1:10" x14ac:dyDescent="0.2">
      <c r="A266" s="1" t="s">
        <v>36</v>
      </c>
      <c r="B266" s="1" t="s">
        <v>6</v>
      </c>
      <c r="C266" s="1">
        <v>100</v>
      </c>
      <c r="D266" s="2">
        <v>10060.988321789326</v>
      </c>
      <c r="J266"/>
    </row>
    <row r="267" spans="1:10" x14ac:dyDescent="0.2">
      <c r="A267" s="1" t="s">
        <v>36</v>
      </c>
      <c r="B267" s="1" t="s">
        <v>7</v>
      </c>
      <c r="C267" s="1">
        <v>366</v>
      </c>
      <c r="D267" s="2">
        <v>7160.8032993873067</v>
      </c>
      <c r="J267"/>
    </row>
    <row r="268" spans="1:10" x14ac:dyDescent="0.2">
      <c r="A268" s="1" t="s">
        <v>36</v>
      </c>
      <c r="B268" s="1" t="s">
        <v>8</v>
      </c>
      <c r="C268" s="1">
        <v>99</v>
      </c>
      <c r="D268" s="2">
        <v>9069.1325411401194</v>
      </c>
      <c r="J268"/>
    </row>
    <row r="269" spans="1:10" x14ac:dyDescent="0.2">
      <c r="A269" s="1" t="s">
        <v>36</v>
      </c>
      <c r="B269" s="1" t="s">
        <v>9</v>
      </c>
      <c r="C269" s="1">
        <v>394</v>
      </c>
      <c r="D269" s="2">
        <v>5948.9581600083511</v>
      </c>
      <c r="J269"/>
    </row>
    <row r="270" spans="1:10" x14ac:dyDescent="0.2">
      <c r="A270" s="1" t="s">
        <v>36</v>
      </c>
      <c r="B270" s="1" t="s">
        <v>10</v>
      </c>
      <c r="C270" s="1">
        <v>110</v>
      </c>
      <c r="D270" s="2">
        <v>16322.041055686735</v>
      </c>
      <c r="J270"/>
    </row>
    <row r="271" spans="1:10" x14ac:dyDescent="0.2">
      <c r="A271" s="1" t="s">
        <v>36</v>
      </c>
      <c r="B271" s="1" t="s">
        <v>11</v>
      </c>
      <c r="C271" s="1">
        <v>43</v>
      </c>
      <c r="D271" s="2">
        <v>10698.005520319472</v>
      </c>
      <c r="J271"/>
    </row>
    <row r="272" spans="1:10" x14ac:dyDescent="0.2">
      <c r="A272" s="1" t="s">
        <v>36</v>
      </c>
      <c r="B272" s="1" t="s">
        <v>12</v>
      </c>
      <c r="C272" s="1">
        <v>13</v>
      </c>
      <c r="D272" s="2">
        <v>7143.333333333333</v>
      </c>
      <c r="J272"/>
    </row>
    <row r="273" spans="1:10" x14ac:dyDescent="0.2">
      <c r="A273" s="1" t="s">
        <v>36</v>
      </c>
      <c r="B273" s="1" t="s">
        <v>13</v>
      </c>
      <c r="C273" s="1">
        <v>268</v>
      </c>
      <c r="D273" s="2">
        <v>10509.416915288279</v>
      </c>
      <c r="J273"/>
    </row>
    <row r="274" spans="1:10" x14ac:dyDescent="0.2">
      <c r="A274" s="1" t="s">
        <v>36</v>
      </c>
      <c r="B274" s="1" t="s">
        <v>14</v>
      </c>
      <c r="C274" s="1">
        <v>301</v>
      </c>
      <c r="D274" s="2">
        <v>6405.709035058705</v>
      </c>
      <c r="J274"/>
    </row>
    <row r="275" spans="1:10" x14ac:dyDescent="0.2">
      <c r="A275" s="1" t="s">
        <v>36</v>
      </c>
      <c r="B275" s="1" t="s">
        <v>15</v>
      </c>
      <c r="C275" s="1">
        <v>327</v>
      </c>
      <c r="D275" s="2">
        <v>9108.607176394793</v>
      </c>
      <c r="J275"/>
    </row>
    <row r="276" spans="1:10" x14ac:dyDescent="0.2">
      <c r="A276" s="1" t="s">
        <v>36</v>
      </c>
      <c r="B276" s="1" t="s">
        <v>16</v>
      </c>
      <c r="C276" s="1">
        <v>491</v>
      </c>
      <c r="D276" s="2">
        <v>10341.478680314936</v>
      </c>
      <c r="J276"/>
    </row>
    <row r="277" spans="1:10" x14ac:dyDescent="0.2">
      <c r="A277" s="1" t="s">
        <v>36</v>
      </c>
      <c r="B277" s="1" t="s">
        <v>17</v>
      </c>
      <c r="C277" s="1">
        <v>303</v>
      </c>
      <c r="D277" s="2">
        <v>5922.3535226141657</v>
      </c>
      <c r="J277"/>
    </row>
    <row r="278" spans="1:10" x14ac:dyDescent="0.2">
      <c r="A278" s="1" t="s">
        <v>36</v>
      </c>
      <c r="B278" s="1" t="s">
        <v>18</v>
      </c>
      <c r="C278" s="1">
        <v>113</v>
      </c>
      <c r="D278" s="2">
        <v>5666.5664898032164</v>
      </c>
      <c r="J278"/>
    </row>
    <row r="279" spans="1:10" x14ac:dyDescent="0.2">
      <c r="A279" s="1" t="s">
        <v>36</v>
      </c>
      <c r="B279" s="1" t="s">
        <v>19</v>
      </c>
      <c r="C279" s="1">
        <v>211</v>
      </c>
      <c r="D279" s="2">
        <v>5389.5335374735869</v>
      </c>
      <c r="J279"/>
    </row>
    <row r="280" spans="1:10" x14ac:dyDescent="0.2">
      <c r="A280" s="1" t="s">
        <v>37</v>
      </c>
      <c r="B280" s="1" t="s">
        <v>2</v>
      </c>
      <c r="C280" s="1">
        <v>353</v>
      </c>
      <c r="D280" s="2">
        <v>18169.846026592451</v>
      </c>
      <c r="J280"/>
    </row>
    <row r="281" spans="1:10" x14ac:dyDescent="0.2">
      <c r="A281" s="1" t="s">
        <v>37</v>
      </c>
      <c r="B281" s="1" t="s">
        <v>3</v>
      </c>
      <c r="C281" s="1">
        <v>217</v>
      </c>
      <c r="D281" s="2">
        <v>7632.034410929572</v>
      </c>
      <c r="E281">
        <v>0</v>
      </c>
      <c r="J281"/>
    </row>
    <row r="282" spans="1:10" x14ac:dyDescent="0.2">
      <c r="A282" s="1" t="s">
        <v>37</v>
      </c>
      <c r="B282" s="1" t="s">
        <v>24</v>
      </c>
      <c r="C282" s="1">
        <v>27</v>
      </c>
      <c r="D282" s="2">
        <v>17557.075102880655</v>
      </c>
      <c r="E282">
        <v>0</v>
      </c>
      <c r="J282"/>
    </row>
    <row r="283" spans="1:10" x14ac:dyDescent="0.2">
      <c r="A283" s="1" t="s">
        <v>37</v>
      </c>
      <c r="B283" s="1" t="s">
        <v>4</v>
      </c>
      <c r="C283" s="1">
        <v>2388</v>
      </c>
      <c r="D283" s="2">
        <v>11438.505532140029</v>
      </c>
      <c r="E283">
        <v>0</v>
      </c>
      <c r="J283"/>
    </row>
    <row r="284" spans="1:10" x14ac:dyDescent="0.2">
      <c r="A284" s="1" t="s">
        <v>37</v>
      </c>
      <c r="B284" s="1" t="s">
        <v>5</v>
      </c>
      <c r="C284" s="1">
        <v>58</v>
      </c>
      <c r="D284" s="2">
        <v>11999.708383091998</v>
      </c>
      <c r="E284">
        <v>51</v>
      </c>
      <c r="J284"/>
    </row>
    <row r="285" spans="1:10" x14ac:dyDescent="0.2">
      <c r="A285" s="1" t="s">
        <v>37</v>
      </c>
      <c r="B285" s="1" t="s">
        <v>6</v>
      </c>
      <c r="C285" s="1">
        <v>233</v>
      </c>
      <c r="D285" s="2">
        <v>10941.803677795739</v>
      </c>
      <c r="E285">
        <v>175</v>
      </c>
      <c r="J285"/>
    </row>
    <row r="286" spans="1:10" x14ac:dyDescent="0.2">
      <c r="A286" s="1" t="s">
        <v>37</v>
      </c>
      <c r="B286" s="1" t="s">
        <v>7</v>
      </c>
      <c r="C286" s="1">
        <v>1714</v>
      </c>
      <c r="D286" s="2">
        <v>8375.0522574469578</v>
      </c>
      <c r="E286">
        <v>1481</v>
      </c>
      <c r="J286"/>
    </row>
    <row r="287" spans="1:10" x14ac:dyDescent="0.2">
      <c r="A287" s="1" t="s">
        <v>37</v>
      </c>
      <c r="B287" s="1" t="s">
        <v>8</v>
      </c>
      <c r="C287" s="1">
        <v>361</v>
      </c>
      <c r="D287" s="2">
        <v>11323.354238566913</v>
      </c>
      <c r="E287">
        <v>-1353</v>
      </c>
      <c r="J287"/>
    </row>
    <row r="288" spans="1:10" x14ac:dyDescent="0.2">
      <c r="A288" s="1" t="s">
        <v>37</v>
      </c>
      <c r="B288" s="1" t="s">
        <v>9</v>
      </c>
      <c r="C288" s="1">
        <v>1181</v>
      </c>
      <c r="D288" s="2">
        <v>5568.1956328434981</v>
      </c>
      <c r="E288">
        <v>820</v>
      </c>
      <c r="J288"/>
    </row>
    <row r="289" spans="1:10" x14ac:dyDescent="0.2">
      <c r="A289" s="1" t="s">
        <v>37</v>
      </c>
      <c r="B289" s="1" t="s">
        <v>10</v>
      </c>
      <c r="C289" s="1">
        <v>348</v>
      </c>
      <c r="D289" s="2">
        <v>16024.368606425522</v>
      </c>
      <c r="E289">
        <v>-833</v>
      </c>
      <c r="J289"/>
    </row>
    <row r="290" spans="1:10" x14ac:dyDescent="0.2">
      <c r="A290" s="1" t="s">
        <v>37</v>
      </c>
      <c r="B290" s="1" t="s">
        <v>11</v>
      </c>
      <c r="C290" s="1">
        <v>184</v>
      </c>
      <c r="D290" s="2">
        <v>13496.638915945159</v>
      </c>
      <c r="E290">
        <v>-164</v>
      </c>
      <c r="J290"/>
    </row>
    <row r="291" spans="1:10" x14ac:dyDescent="0.2">
      <c r="A291" s="1" t="s">
        <v>37</v>
      </c>
      <c r="B291" s="1" t="s">
        <v>12</v>
      </c>
      <c r="C291" s="1">
        <v>73</v>
      </c>
      <c r="D291" s="2">
        <v>10606.611943802014</v>
      </c>
      <c r="E291">
        <v>-111</v>
      </c>
      <c r="J291"/>
    </row>
    <row r="292" spans="1:10" x14ac:dyDescent="0.2">
      <c r="A292" s="1" t="s">
        <v>37</v>
      </c>
      <c r="B292" s="1" t="s">
        <v>13</v>
      </c>
      <c r="C292" s="1">
        <v>500</v>
      </c>
      <c r="D292" s="2">
        <v>10340.265685137101</v>
      </c>
      <c r="E292">
        <v>427</v>
      </c>
      <c r="J292"/>
    </row>
    <row r="293" spans="1:10" x14ac:dyDescent="0.2">
      <c r="A293" s="1" t="s">
        <v>37</v>
      </c>
      <c r="B293" s="1" t="s">
        <v>14</v>
      </c>
      <c r="C293" s="1">
        <v>761</v>
      </c>
      <c r="D293" s="2">
        <v>6522.7611803220816</v>
      </c>
      <c r="E293">
        <v>261</v>
      </c>
      <c r="J293"/>
    </row>
    <row r="294" spans="1:10" x14ac:dyDescent="0.2">
      <c r="A294" s="1" t="s">
        <v>37</v>
      </c>
      <c r="B294" s="1" t="s">
        <v>15</v>
      </c>
      <c r="C294" s="1">
        <v>697</v>
      </c>
      <c r="D294" s="2">
        <v>10702.719550858044</v>
      </c>
      <c r="E294">
        <v>-64</v>
      </c>
      <c r="J294"/>
    </row>
    <row r="295" spans="1:10" x14ac:dyDescent="0.2">
      <c r="A295" s="1" t="s">
        <v>37</v>
      </c>
      <c r="B295" s="1" t="s">
        <v>16</v>
      </c>
      <c r="C295" s="1">
        <v>1114</v>
      </c>
      <c r="D295" s="2">
        <v>9771.6609376983342</v>
      </c>
      <c r="E295">
        <v>417</v>
      </c>
      <c r="J295"/>
    </row>
    <row r="296" spans="1:10" x14ac:dyDescent="0.2">
      <c r="A296" s="1" t="s">
        <v>37</v>
      </c>
      <c r="B296" s="1" t="s">
        <v>17</v>
      </c>
      <c r="C296" s="1">
        <v>1054</v>
      </c>
      <c r="D296" s="2">
        <v>5567.2078978658928</v>
      </c>
      <c r="E296">
        <v>-60</v>
      </c>
      <c r="J296"/>
    </row>
    <row r="297" spans="1:10" x14ac:dyDescent="0.2">
      <c r="A297" s="1" t="s">
        <v>37</v>
      </c>
      <c r="B297" s="1" t="s">
        <v>18</v>
      </c>
      <c r="C297" s="1">
        <v>296</v>
      </c>
      <c r="D297" s="2">
        <v>6425.1928980928988</v>
      </c>
      <c r="E297">
        <v>-758</v>
      </c>
      <c r="J297"/>
    </row>
    <row r="298" spans="1:10" x14ac:dyDescent="0.2">
      <c r="A298" s="1" t="s">
        <v>37</v>
      </c>
      <c r="B298" s="1" t="s">
        <v>19</v>
      </c>
      <c r="C298" s="1">
        <v>314</v>
      </c>
      <c r="D298" s="2">
        <v>6437.745604130474</v>
      </c>
      <c r="E298">
        <v>18</v>
      </c>
      <c r="J298"/>
    </row>
    <row r="299" spans="1:10" x14ac:dyDescent="0.2">
      <c r="A299" s="1" t="s">
        <v>38</v>
      </c>
      <c r="B299" s="1" t="s">
        <v>2</v>
      </c>
      <c r="C299" s="1">
        <v>129</v>
      </c>
      <c r="D299" s="2">
        <v>19190.094791666666</v>
      </c>
      <c r="J299"/>
    </row>
    <row r="300" spans="1:10" x14ac:dyDescent="0.2">
      <c r="A300" s="1" t="s">
        <v>38</v>
      </c>
      <c r="B300" s="1" t="s">
        <v>3</v>
      </c>
      <c r="C300" s="1">
        <v>56</v>
      </c>
      <c r="D300" s="2">
        <v>7843.6821138682735</v>
      </c>
      <c r="J300"/>
    </row>
    <row r="301" spans="1:10" x14ac:dyDescent="0.2">
      <c r="A301" s="1" t="s">
        <v>38</v>
      </c>
      <c r="B301" s="1" t="s">
        <v>4</v>
      </c>
      <c r="C301" s="1">
        <v>96</v>
      </c>
      <c r="D301" s="2">
        <v>19097.792687289566</v>
      </c>
      <c r="J301"/>
    </row>
    <row r="302" spans="1:10" x14ac:dyDescent="0.2">
      <c r="A302" s="1" t="s">
        <v>38</v>
      </c>
      <c r="B302" s="1" t="s">
        <v>5</v>
      </c>
      <c r="C302" s="1">
        <v>11</v>
      </c>
      <c r="D302" s="2">
        <v>16290.65</v>
      </c>
      <c r="J302"/>
    </row>
    <row r="303" spans="1:10" x14ac:dyDescent="0.2">
      <c r="A303" s="1" t="s">
        <v>38</v>
      </c>
      <c r="B303" s="1" t="s">
        <v>6</v>
      </c>
      <c r="C303" s="1">
        <v>61</v>
      </c>
      <c r="D303" s="2">
        <v>14371.173823717265</v>
      </c>
      <c r="J303"/>
    </row>
    <row r="304" spans="1:10" x14ac:dyDescent="0.2">
      <c r="A304" s="1" t="s">
        <v>38</v>
      </c>
      <c r="B304" s="1" t="s">
        <v>7</v>
      </c>
      <c r="C304" s="1">
        <v>154</v>
      </c>
      <c r="D304" s="2">
        <v>10420.186741252974</v>
      </c>
      <c r="J304"/>
    </row>
    <row r="305" spans="1:10" x14ac:dyDescent="0.2">
      <c r="A305" s="1" t="s">
        <v>38</v>
      </c>
      <c r="B305" s="1" t="s">
        <v>8</v>
      </c>
      <c r="C305" s="1">
        <v>38</v>
      </c>
      <c r="D305" s="2">
        <v>15147.45662641452</v>
      </c>
      <c r="J305"/>
    </row>
    <row r="306" spans="1:10" x14ac:dyDescent="0.2">
      <c r="A306" s="1" t="s">
        <v>38</v>
      </c>
      <c r="B306" s="1" t="s">
        <v>9</v>
      </c>
      <c r="C306" s="1">
        <v>236</v>
      </c>
      <c r="D306" s="2">
        <v>5882.7530949629499</v>
      </c>
      <c r="J306"/>
    </row>
    <row r="307" spans="1:10" x14ac:dyDescent="0.2">
      <c r="A307" s="1" t="s">
        <v>38</v>
      </c>
      <c r="B307" s="1" t="s">
        <v>10</v>
      </c>
      <c r="C307" s="1">
        <v>49</v>
      </c>
      <c r="D307" s="2">
        <v>22391.27188355862</v>
      </c>
      <c r="J307"/>
    </row>
    <row r="308" spans="1:10" x14ac:dyDescent="0.2">
      <c r="A308" s="1" t="s">
        <v>38</v>
      </c>
      <c r="B308" s="1" t="s">
        <v>11</v>
      </c>
      <c r="C308" s="1">
        <v>28</v>
      </c>
      <c r="D308" s="2">
        <v>21876.401573129253</v>
      </c>
      <c r="J308"/>
    </row>
    <row r="309" spans="1:10" x14ac:dyDescent="0.2">
      <c r="A309" s="1" t="s">
        <v>38</v>
      </c>
      <c r="B309" s="1" t="s">
        <v>12</v>
      </c>
      <c r="C309" s="1">
        <v>16</v>
      </c>
      <c r="D309" s="2">
        <v>10297.24449179293</v>
      </c>
      <c r="J309"/>
    </row>
    <row r="310" spans="1:10" x14ac:dyDescent="0.2">
      <c r="A310" s="1" t="s">
        <v>38</v>
      </c>
      <c r="B310" s="1" t="s">
        <v>13</v>
      </c>
      <c r="C310" s="1">
        <v>85</v>
      </c>
      <c r="D310" s="2">
        <v>15539.773263305313</v>
      </c>
      <c r="J310"/>
    </row>
    <row r="311" spans="1:10" x14ac:dyDescent="0.2">
      <c r="A311" s="1" t="s">
        <v>38</v>
      </c>
      <c r="B311" s="1" t="s">
        <v>14</v>
      </c>
      <c r="C311" s="1">
        <v>75</v>
      </c>
      <c r="D311" s="2">
        <v>8736.6572159692187</v>
      </c>
      <c r="J311"/>
    </row>
    <row r="312" spans="1:10" x14ac:dyDescent="0.2">
      <c r="A312" s="1" t="s">
        <v>38</v>
      </c>
      <c r="B312" s="1" t="s">
        <v>15</v>
      </c>
      <c r="C312" s="1">
        <v>157</v>
      </c>
      <c r="D312" s="2">
        <v>16799.643390915517</v>
      </c>
      <c r="J312"/>
    </row>
    <row r="313" spans="1:10" x14ac:dyDescent="0.2">
      <c r="A313" s="1" t="s">
        <v>38</v>
      </c>
      <c r="B313" s="1" t="s">
        <v>16</v>
      </c>
      <c r="C313" s="1">
        <v>182</v>
      </c>
      <c r="D313" s="2">
        <v>12380.686547975836</v>
      </c>
      <c r="J313"/>
    </row>
    <row r="314" spans="1:10" x14ac:dyDescent="0.2">
      <c r="A314" s="1" t="s">
        <v>38</v>
      </c>
      <c r="B314" s="1" t="s">
        <v>17</v>
      </c>
      <c r="C314" s="1">
        <v>126</v>
      </c>
      <c r="D314" s="2">
        <v>9110.254465860422</v>
      </c>
      <c r="J314"/>
    </row>
    <row r="315" spans="1:10" x14ac:dyDescent="0.2">
      <c r="A315" s="1" t="s">
        <v>38</v>
      </c>
      <c r="B315" s="1" t="s">
        <v>18</v>
      </c>
      <c r="C315" s="1">
        <v>44</v>
      </c>
      <c r="D315" s="2">
        <v>9202.2919618260548</v>
      </c>
      <c r="J315"/>
    </row>
    <row r="316" spans="1:10" x14ac:dyDescent="0.2">
      <c r="A316" s="1" t="s">
        <v>38</v>
      </c>
      <c r="B316" s="1" t="s">
        <v>19</v>
      </c>
      <c r="C316" s="1">
        <v>74</v>
      </c>
      <c r="D316" s="2">
        <v>6973.1231221481221</v>
      </c>
      <c r="J316"/>
    </row>
  </sheetData>
  <pageMargins left="0.75" right="0.75" top="1" bottom="1" header="0.5" footer="0.5"/>
  <pageSetup orientation="portrait" r:id="rId2"/>
  <headerFooter alignWithMargins="0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3"/>
  <sheetViews>
    <sheetView zoomScaleNormal="100" workbookViewId="0">
      <selection activeCell="B2" sqref="B2"/>
    </sheetView>
  </sheetViews>
  <sheetFormatPr defaultRowHeight="14.25" x14ac:dyDescent="0.2"/>
  <cols>
    <col min="1" max="1" width="12.28515625" style="1" bestFit="1" customWidth="1"/>
    <col min="2" max="2" width="12.28515625" style="1" customWidth="1"/>
    <col min="3" max="3" width="9.28515625" style="1" bestFit="1" customWidth="1"/>
    <col min="4" max="4" width="12" style="1" bestFit="1" customWidth="1"/>
    <col min="5" max="5" width="16.28515625" style="2" bestFit="1" customWidth="1"/>
  </cols>
  <sheetData>
    <row r="1" spans="1:5" ht="15" x14ac:dyDescent="0.25">
      <c r="A1" s="3" t="s">
        <v>39</v>
      </c>
      <c r="B1" s="3"/>
      <c r="C1" s="3" t="s">
        <v>49</v>
      </c>
      <c r="D1" s="3" t="s">
        <v>50</v>
      </c>
      <c r="E1" s="4" t="s">
        <v>51</v>
      </c>
    </row>
    <row r="2" spans="1:5" x14ac:dyDescent="0.2">
      <c r="A2" s="1" t="s">
        <v>40</v>
      </c>
      <c r="C2" s="1">
        <v>850</v>
      </c>
      <c r="D2" s="1">
        <v>4497</v>
      </c>
      <c r="E2" s="2">
        <v>5266.8585921638878</v>
      </c>
    </row>
    <row r="3" spans="1:5" x14ac:dyDescent="0.2">
      <c r="A3" s="1" t="s">
        <v>40</v>
      </c>
      <c r="C3" s="1">
        <v>851</v>
      </c>
      <c r="D3" s="1">
        <v>7875</v>
      </c>
      <c r="E3" s="2">
        <v>7170.2679631507945</v>
      </c>
    </row>
    <row r="4" spans="1:5" x14ac:dyDescent="0.2">
      <c r="A4" s="1" t="s">
        <v>40</v>
      </c>
      <c r="C4" s="1">
        <v>852</v>
      </c>
      <c r="D4" s="1">
        <v>6291</v>
      </c>
      <c r="E4" s="2">
        <v>10350.295602005222</v>
      </c>
    </row>
    <row r="5" spans="1:5" x14ac:dyDescent="0.2">
      <c r="A5" s="1" t="s">
        <v>40</v>
      </c>
      <c r="C5" s="1">
        <v>853</v>
      </c>
      <c r="D5" s="1">
        <v>652</v>
      </c>
      <c r="E5" s="2">
        <v>9090.5387950495297</v>
      </c>
    </row>
    <row r="6" spans="1:5" x14ac:dyDescent="0.2">
      <c r="A6" s="1" t="s">
        <v>40</v>
      </c>
      <c r="C6" s="1">
        <v>854</v>
      </c>
      <c r="D6" s="1">
        <v>1199</v>
      </c>
      <c r="E6" s="2">
        <v>11845.445184960541</v>
      </c>
    </row>
    <row r="7" spans="1:5" x14ac:dyDescent="0.2">
      <c r="A7" s="1" t="s">
        <v>40</v>
      </c>
      <c r="C7" s="1">
        <v>855</v>
      </c>
      <c r="D7" s="1">
        <v>2186</v>
      </c>
      <c r="E7" s="2">
        <v>11542.585932716265</v>
      </c>
    </row>
    <row r="8" spans="1:5" x14ac:dyDescent="0.2">
      <c r="A8" s="1" t="s">
        <v>40</v>
      </c>
      <c r="C8" s="1">
        <v>856</v>
      </c>
      <c r="D8" s="1">
        <v>5204</v>
      </c>
      <c r="E8" s="2">
        <v>6577.5028953751971</v>
      </c>
    </row>
    <row r="9" spans="1:5" x14ac:dyDescent="0.2">
      <c r="A9" s="1" t="s">
        <v>40</v>
      </c>
      <c r="C9" s="1">
        <v>857</v>
      </c>
      <c r="D9" s="1">
        <v>13718</v>
      </c>
      <c r="E9" s="2">
        <v>11301.595516000318</v>
      </c>
    </row>
    <row r="10" spans="1:5" x14ac:dyDescent="0.2">
      <c r="A10" s="1" t="s">
        <v>40</v>
      </c>
      <c r="C10" s="1">
        <v>858</v>
      </c>
      <c r="D10" s="1">
        <v>243</v>
      </c>
      <c r="E10" s="2">
        <v>5772.6692680776023</v>
      </c>
    </row>
    <row r="11" spans="1:5" x14ac:dyDescent="0.2">
      <c r="A11" s="1" t="s">
        <v>42</v>
      </c>
      <c r="C11" s="1">
        <v>850</v>
      </c>
      <c r="D11" s="1">
        <v>3851</v>
      </c>
      <c r="E11" s="2">
        <v>5557.2967829423787</v>
      </c>
    </row>
    <row r="12" spans="1:5" x14ac:dyDescent="0.2">
      <c r="A12" s="1" t="s">
        <v>42</v>
      </c>
      <c r="C12" s="1">
        <v>851</v>
      </c>
      <c r="D12" s="1">
        <v>5658</v>
      </c>
      <c r="E12" s="2">
        <v>8011.5713829325096</v>
      </c>
    </row>
    <row r="13" spans="1:5" x14ac:dyDescent="0.2">
      <c r="A13" s="1" t="s">
        <v>42</v>
      </c>
      <c r="C13" s="1">
        <v>852</v>
      </c>
      <c r="D13" s="1">
        <v>8180</v>
      </c>
      <c r="E13" s="2">
        <v>11235.42010847213</v>
      </c>
    </row>
    <row r="14" spans="1:5" x14ac:dyDescent="0.2">
      <c r="A14" s="1" t="s">
        <v>42</v>
      </c>
      <c r="C14" s="1">
        <v>853</v>
      </c>
      <c r="D14" s="1">
        <v>1077</v>
      </c>
      <c r="E14" s="2">
        <v>9358.1954379650069</v>
      </c>
    </row>
    <row r="15" spans="1:5" x14ac:dyDescent="0.2">
      <c r="A15" s="1" t="s">
        <v>42</v>
      </c>
      <c r="C15" s="1">
        <v>854</v>
      </c>
      <c r="D15" s="1">
        <v>2921</v>
      </c>
      <c r="E15" s="2">
        <v>11336.775043929787</v>
      </c>
    </row>
    <row r="16" spans="1:5" x14ac:dyDescent="0.2">
      <c r="A16" s="1" t="s">
        <v>42</v>
      </c>
      <c r="C16" s="1">
        <v>855</v>
      </c>
      <c r="D16" s="1">
        <v>4118</v>
      </c>
      <c r="E16" s="2">
        <v>13864.688945927375</v>
      </c>
    </row>
    <row r="17" spans="1:5" x14ac:dyDescent="0.2">
      <c r="A17" s="1" t="s">
        <v>42</v>
      </c>
      <c r="C17" s="1">
        <v>856</v>
      </c>
      <c r="D17" s="1">
        <v>3428</v>
      </c>
      <c r="E17" s="2">
        <v>5862.5007376439889</v>
      </c>
    </row>
    <row r="18" spans="1:5" x14ac:dyDescent="0.2">
      <c r="A18" s="1" t="s">
        <v>42</v>
      </c>
      <c r="C18" s="1">
        <v>857</v>
      </c>
      <c r="D18" s="1">
        <v>29512</v>
      </c>
      <c r="E18" s="2">
        <v>11837.89711110001</v>
      </c>
    </row>
    <row r="19" spans="1:5" x14ac:dyDescent="0.2">
      <c r="A19" s="1" t="s">
        <v>42</v>
      </c>
      <c r="C19" s="1">
        <v>858</v>
      </c>
      <c r="D19" s="1">
        <v>377</v>
      </c>
      <c r="E19" s="2">
        <v>5462.3931364612417</v>
      </c>
    </row>
    <row r="20" spans="1:5" x14ac:dyDescent="0.2">
      <c r="A20" s="1" t="s">
        <v>43</v>
      </c>
      <c r="C20" s="1">
        <v>850</v>
      </c>
      <c r="D20" s="1">
        <v>4204</v>
      </c>
      <c r="E20" s="2">
        <v>5653.4416154631135</v>
      </c>
    </row>
    <row r="21" spans="1:5" x14ac:dyDescent="0.2">
      <c r="A21" s="1" t="s">
        <v>43</v>
      </c>
      <c r="C21" s="1">
        <v>851</v>
      </c>
      <c r="D21" s="1">
        <v>3002</v>
      </c>
      <c r="E21" s="2">
        <v>7812.8952863795557</v>
      </c>
    </row>
    <row r="22" spans="1:5" x14ac:dyDescent="0.2">
      <c r="A22" s="1" t="s">
        <v>43</v>
      </c>
      <c r="C22" s="1">
        <v>852</v>
      </c>
      <c r="D22" s="1">
        <v>6883</v>
      </c>
      <c r="E22" s="2">
        <v>11804.283522922518</v>
      </c>
    </row>
    <row r="23" spans="1:5" x14ac:dyDescent="0.2">
      <c r="A23" s="1" t="s">
        <v>43</v>
      </c>
      <c r="C23" s="1">
        <v>853</v>
      </c>
      <c r="D23" s="1">
        <v>946</v>
      </c>
      <c r="E23" s="2">
        <v>11602.148355153773</v>
      </c>
    </row>
    <row r="24" spans="1:5" x14ac:dyDescent="0.2">
      <c r="A24" s="1" t="s">
        <v>43</v>
      </c>
      <c r="C24" s="1">
        <v>854</v>
      </c>
      <c r="D24" s="1">
        <v>2362</v>
      </c>
      <c r="E24" s="2">
        <v>12758.267223172192</v>
      </c>
    </row>
    <row r="25" spans="1:5" x14ac:dyDescent="0.2">
      <c r="A25" s="1" t="s">
        <v>43</v>
      </c>
      <c r="C25" s="1">
        <v>855</v>
      </c>
      <c r="D25" s="1">
        <v>5592</v>
      </c>
      <c r="E25" s="2">
        <v>16158.933330120713</v>
      </c>
    </row>
    <row r="26" spans="1:5" x14ac:dyDescent="0.2">
      <c r="A26" s="1" t="s">
        <v>43</v>
      </c>
      <c r="C26" s="1">
        <v>856</v>
      </c>
      <c r="D26" s="1">
        <v>1184</v>
      </c>
      <c r="E26" s="2">
        <v>5524.7302955959221</v>
      </c>
    </row>
    <row r="27" spans="1:5" x14ac:dyDescent="0.2">
      <c r="A27" s="1" t="s">
        <v>43</v>
      </c>
      <c r="C27" s="1">
        <v>857</v>
      </c>
      <c r="D27" s="1">
        <v>22762</v>
      </c>
      <c r="E27" s="2">
        <v>11502.374381110705</v>
      </c>
    </row>
    <row r="28" spans="1:5" x14ac:dyDescent="0.2">
      <c r="A28" s="1" t="s">
        <v>43</v>
      </c>
      <c r="C28" s="1">
        <v>858</v>
      </c>
      <c r="D28" s="1">
        <v>120</v>
      </c>
      <c r="E28" s="2">
        <v>5602.2853451178471</v>
      </c>
    </row>
    <row r="29" spans="1:5" x14ac:dyDescent="0.2">
      <c r="A29" s="1" t="s">
        <v>44</v>
      </c>
      <c r="C29" s="1">
        <v>850</v>
      </c>
      <c r="D29" s="1">
        <v>9603</v>
      </c>
      <c r="E29" s="2">
        <v>5235.1655364394846</v>
      </c>
    </row>
    <row r="30" spans="1:5" x14ac:dyDescent="0.2">
      <c r="A30" s="1" t="s">
        <v>44</v>
      </c>
      <c r="C30" s="1">
        <v>851</v>
      </c>
      <c r="D30" s="1">
        <v>12250</v>
      </c>
      <c r="E30" s="2">
        <v>7803.934557831948</v>
      </c>
    </row>
    <row r="31" spans="1:5" x14ac:dyDescent="0.2">
      <c r="A31" s="1" t="s">
        <v>44</v>
      </c>
      <c r="C31" s="1">
        <v>852</v>
      </c>
      <c r="D31" s="1">
        <v>8413</v>
      </c>
      <c r="E31" s="2">
        <v>8817.6274075123038</v>
      </c>
    </row>
    <row r="32" spans="1:5" x14ac:dyDescent="0.2">
      <c r="A32" s="1" t="s">
        <v>44</v>
      </c>
      <c r="C32" s="1">
        <v>853</v>
      </c>
      <c r="D32" s="1">
        <v>2362</v>
      </c>
      <c r="E32" s="2">
        <v>8599.4822457366899</v>
      </c>
    </row>
    <row r="33" spans="1:5" x14ac:dyDescent="0.2">
      <c r="A33" s="1" t="s">
        <v>44</v>
      </c>
      <c r="C33" s="1">
        <v>854</v>
      </c>
      <c r="D33" s="1">
        <v>2997</v>
      </c>
      <c r="E33" s="2">
        <v>11194.679958806804</v>
      </c>
    </row>
    <row r="34" spans="1:5" x14ac:dyDescent="0.2">
      <c r="A34" s="1" t="s">
        <v>44</v>
      </c>
      <c r="C34" s="1">
        <v>855</v>
      </c>
      <c r="D34" s="1">
        <v>4975</v>
      </c>
      <c r="E34" s="2">
        <v>13834.22456282131</v>
      </c>
    </row>
    <row r="35" spans="1:5" x14ac:dyDescent="0.2">
      <c r="A35" s="1" t="s">
        <v>44</v>
      </c>
      <c r="C35" s="1">
        <v>856</v>
      </c>
      <c r="D35" s="1">
        <v>8714</v>
      </c>
      <c r="E35" s="2">
        <v>6696.0570739154828</v>
      </c>
    </row>
    <row r="36" spans="1:5" x14ac:dyDescent="0.2">
      <c r="A36" s="1" t="s">
        <v>44</v>
      </c>
      <c r="C36" s="1">
        <v>857</v>
      </c>
      <c r="D36" s="1">
        <v>18766</v>
      </c>
      <c r="E36" s="2">
        <v>10819.94975931843</v>
      </c>
    </row>
    <row r="37" spans="1:5" x14ac:dyDescent="0.2">
      <c r="A37" s="1" t="s">
        <v>44</v>
      </c>
      <c r="C37" s="1">
        <v>858</v>
      </c>
      <c r="D37" s="1">
        <v>533</v>
      </c>
      <c r="E37" s="2">
        <v>5434.1602888304078</v>
      </c>
    </row>
    <row r="38" spans="1:5" x14ac:dyDescent="0.2">
      <c r="A38" s="1" t="s">
        <v>45</v>
      </c>
      <c r="C38" s="1">
        <v>850</v>
      </c>
      <c r="D38" s="1">
        <v>3123</v>
      </c>
      <c r="E38" s="2">
        <v>5934.0896875530043</v>
      </c>
    </row>
    <row r="39" spans="1:5" x14ac:dyDescent="0.2">
      <c r="A39" s="1" t="s">
        <v>45</v>
      </c>
      <c r="C39" s="1">
        <v>851</v>
      </c>
      <c r="D39" s="1">
        <v>2327</v>
      </c>
      <c r="E39" s="2">
        <v>8421.5529310230249</v>
      </c>
    </row>
    <row r="40" spans="1:5" x14ac:dyDescent="0.2">
      <c r="A40" s="1" t="s">
        <v>45</v>
      </c>
      <c r="C40" s="1">
        <v>852</v>
      </c>
      <c r="D40" s="1">
        <v>9233</v>
      </c>
      <c r="E40" s="2">
        <v>12258.021041681979</v>
      </c>
    </row>
    <row r="41" spans="1:5" x14ac:dyDescent="0.2">
      <c r="A41" s="1" t="s">
        <v>45</v>
      </c>
      <c r="C41" s="1">
        <v>853</v>
      </c>
      <c r="D41" s="1">
        <v>1449</v>
      </c>
      <c r="E41" s="2">
        <v>11583.631420684205</v>
      </c>
    </row>
    <row r="42" spans="1:5" x14ac:dyDescent="0.2">
      <c r="A42" s="1" t="s">
        <v>45</v>
      </c>
      <c r="C42" s="1">
        <v>854</v>
      </c>
      <c r="D42" s="1">
        <v>2451</v>
      </c>
      <c r="E42" s="2">
        <v>11194.370592487185</v>
      </c>
    </row>
    <row r="43" spans="1:5" x14ac:dyDescent="0.2">
      <c r="A43" s="1" t="s">
        <v>45</v>
      </c>
      <c r="C43" s="1">
        <v>855</v>
      </c>
      <c r="D43" s="1">
        <v>2250</v>
      </c>
      <c r="E43" s="2">
        <v>11138.838962241447</v>
      </c>
    </row>
    <row r="44" spans="1:5" x14ac:dyDescent="0.2">
      <c r="A44" s="1" t="s">
        <v>45</v>
      </c>
      <c r="C44" s="1">
        <v>856</v>
      </c>
      <c r="D44" s="1">
        <v>1096</v>
      </c>
      <c r="E44" s="2">
        <v>6596.9799082456466</v>
      </c>
    </row>
    <row r="45" spans="1:5" x14ac:dyDescent="0.2">
      <c r="A45" s="1" t="s">
        <v>45</v>
      </c>
      <c r="C45" s="1">
        <v>857</v>
      </c>
      <c r="D45" s="1">
        <v>32601</v>
      </c>
      <c r="E45" s="2">
        <v>11997.652247487671</v>
      </c>
    </row>
    <row r="46" spans="1:5" x14ac:dyDescent="0.2">
      <c r="A46" s="1" t="s">
        <v>45</v>
      </c>
      <c r="C46" s="1">
        <v>858</v>
      </c>
      <c r="D46" s="1">
        <v>460</v>
      </c>
      <c r="E46" s="2">
        <v>4792.4598188405816</v>
      </c>
    </row>
    <row r="47" spans="1:5" x14ac:dyDescent="0.2">
      <c r="A47" s="1" t="s">
        <v>46</v>
      </c>
      <c r="C47" s="1">
        <v>850</v>
      </c>
      <c r="D47" s="1">
        <v>8794</v>
      </c>
      <c r="E47" s="2">
        <v>5962.790892087155</v>
      </c>
    </row>
    <row r="48" spans="1:5" x14ac:dyDescent="0.2">
      <c r="A48" s="1" t="s">
        <v>46</v>
      </c>
      <c r="C48" s="1">
        <v>851</v>
      </c>
      <c r="D48" s="1">
        <v>5517</v>
      </c>
      <c r="E48" s="2">
        <v>7555.2008539785411</v>
      </c>
    </row>
    <row r="49" spans="1:5" x14ac:dyDescent="0.2">
      <c r="A49" s="1" t="s">
        <v>46</v>
      </c>
      <c r="C49" s="1">
        <v>852</v>
      </c>
      <c r="D49" s="1">
        <v>10677</v>
      </c>
      <c r="E49" s="2">
        <v>12725.281419643379</v>
      </c>
    </row>
    <row r="50" spans="1:5" x14ac:dyDescent="0.2">
      <c r="A50" s="1" t="s">
        <v>46</v>
      </c>
      <c r="C50" s="1">
        <v>853</v>
      </c>
      <c r="D50" s="1">
        <v>996</v>
      </c>
      <c r="E50" s="2">
        <v>11760.241392590562</v>
      </c>
    </row>
    <row r="51" spans="1:5" x14ac:dyDescent="0.2">
      <c r="A51" s="1" t="s">
        <v>46</v>
      </c>
      <c r="C51" s="1">
        <v>854</v>
      </c>
      <c r="D51" s="1">
        <v>5621</v>
      </c>
      <c r="E51" s="2">
        <v>14041.592782329348</v>
      </c>
    </row>
    <row r="52" spans="1:5" x14ac:dyDescent="0.2">
      <c r="A52" s="1" t="s">
        <v>46</v>
      </c>
      <c r="C52" s="1">
        <v>855</v>
      </c>
      <c r="D52" s="1">
        <v>6312</v>
      </c>
      <c r="E52" s="2">
        <v>13655.513905068898</v>
      </c>
    </row>
    <row r="53" spans="1:5" x14ac:dyDescent="0.2">
      <c r="A53" s="1" t="s">
        <v>46</v>
      </c>
      <c r="C53" s="1">
        <v>856</v>
      </c>
      <c r="D53" s="1">
        <v>2762</v>
      </c>
      <c r="E53" s="2">
        <v>6480.2786009076908</v>
      </c>
    </row>
    <row r="54" spans="1:5" x14ac:dyDescent="0.2">
      <c r="A54" s="1" t="s">
        <v>46</v>
      </c>
      <c r="C54" s="1">
        <v>857</v>
      </c>
      <c r="D54" s="1">
        <v>51607</v>
      </c>
      <c r="E54" s="2">
        <v>11612.025193838585</v>
      </c>
    </row>
    <row r="55" spans="1:5" x14ac:dyDescent="0.2">
      <c r="A55" s="1" t="s">
        <v>46</v>
      </c>
      <c r="C55" s="1">
        <v>858</v>
      </c>
      <c r="D55" s="1">
        <v>456</v>
      </c>
      <c r="E55" s="2">
        <v>6303.8977560694693</v>
      </c>
    </row>
    <row r="56" spans="1:5" x14ac:dyDescent="0.2">
      <c r="A56" s="1" t="s">
        <v>47</v>
      </c>
      <c r="C56" s="1">
        <v>850</v>
      </c>
      <c r="D56" s="1">
        <v>474</v>
      </c>
      <c r="E56" s="2">
        <v>5153.5944332566187</v>
      </c>
    </row>
    <row r="57" spans="1:5" x14ac:dyDescent="0.2">
      <c r="A57" s="1" t="s">
        <v>47</v>
      </c>
      <c r="C57" s="1">
        <v>851</v>
      </c>
      <c r="D57" s="1">
        <v>717</v>
      </c>
      <c r="E57" s="2">
        <v>7558.2309692360868</v>
      </c>
    </row>
    <row r="58" spans="1:5" x14ac:dyDescent="0.2">
      <c r="A58" s="1" t="s">
        <v>47</v>
      </c>
      <c r="C58" s="1">
        <v>852</v>
      </c>
      <c r="D58" s="1">
        <v>1578</v>
      </c>
      <c r="E58" s="2">
        <v>12218.760045754498</v>
      </c>
    </row>
    <row r="59" spans="1:5" x14ac:dyDescent="0.2">
      <c r="A59" s="1" t="s">
        <v>47</v>
      </c>
      <c r="C59" s="1">
        <v>853</v>
      </c>
      <c r="D59" s="1">
        <v>197</v>
      </c>
      <c r="E59" s="2">
        <v>9134.7032703759833</v>
      </c>
    </row>
    <row r="60" spans="1:5" x14ac:dyDescent="0.2">
      <c r="A60" s="1" t="s">
        <v>47</v>
      </c>
      <c r="C60" s="1">
        <v>854</v>
      </c>
      <c r="D60" s="1">
        <v>1055</v>
      </c>
      <c r="E60" s="2">
        <v>9466.6010920648605</v>
      </c>
    </row>
    <row r="61" spans="1:5" x14ac:dyDescent="0.2">
      <c r="A61" s="1" t="s">
        <v>47</v>
      </c>
      <c r="C61" s="1">
        <v>855</v>
      </c>
      <c r="D61" s="1">
        <v>263</v>
      </c>
      <c r="E61" s="2">
        <v>9603.3873313526328</v>
      </c>
    </row>
    <row r="62" spans="1:5" x14ac:dyDescent="0.2">
      <c r="A62" s="1" t="s">
        <v>47</v>
      </c>
      <c r="C62" s="1">
        <v>856</v>
      </c>
      <c r="D62" s="1">
        <v>1068</v>
      </c>
      <c r="E62" s="2">
        <v>6319.1340544287204</v>
      </c>
    </row>
    <row r="63" spans="1:5" x14ac:dyDescent="0.2">
      <c r="A63" s="1" t="s">
        <v>47</v>
      </c>
      <c r="C63" s="1">
        <v>857</v>
      </c>
      <c r="D63" s="1">
        <v>5295</v>
      </c>
      <c r="E63" s="2">
        <v>12024.533848664722</v>
      </c>
    </row>
    <row r="64" spans="1:5" x14ac:dyDescent="0.2">
      <c r="A64" s="1" t="s">
        <v>47</v>
      </c>
      <c r="C64" s="1">
        <v>858</v>
      </c>
      <c r="D64" s="1">
        <v>85</v>
      </c>
      <c r="E64" s="2">
        <v>5756.6958080808099</v>
      </c>
    </row>
    <row r="65" spans="1:5" x14ac:dyDescent="0.2">
      <c r="A65" s="1" t="s">
        <v>48</v>
      </c>
      <c r="C65" s="1">
        <v>850</v>
      </c>
      <c r="D65" s="1">
        <v>6958</v>
      </c>
      <c r="E65" s="2">
        <v>5898.4067427342707</v>
      </c>
    </row>
    <row r="66" spans="1:5" x14ac:dyDescent="0.2">
      <c r="A66" s="1" t="s">
        <v>48</v>
      </c>
      <c r="C66" s="1">
        <v>851</v>
      </c>
      <c r="D66" s="1">
        <v>9443</v>
      </c>
      <c r="E66" s="2">
        <v>7783.1204421218581</v>
      </c>
    </row>
    <row r="67" spans="1:5" x14ac:dyDescent="0.2">
      <c r="A67" s="1" t="s">
        <v>48</v>
      </c>
      <c r="C67" s="1">
        <v>852</v>
      </c>
      <c r="D67" s="1">
        <v>5112</v>
      </c>
      <c r="E67" s="2">
        <v>10809.254090974026</v>
      </c>
    </row>
    <row r="68" spans="1:5" x14ac:dyDescent="0.2">
      <c r="A68" s="1" t="s">
        <v>48</v>
      </c>
      <c r="C68" s="1">
        <v>853</v>
      </c>
      <c r="D68" s="1">
        <v>1547</v>
      </c>
      <c r="E68" s="2">
        <v>9269.9055755635636</v>
      </c>
    </row>
    <row r="69" spans="1:5" x14ac:dyDescent="0.2">
      <c r="A69" s="1" t="s">
        <v>48</v>
      </c>
      <c r="C69" s="1">
        <v>854</v>
      </c>
      <c r="D69" s="1">
        <v>4912</v>
      </c>
      <c r="E69" s="2">
        <v>13355.530503014692</v>
      </c>
    </row>
    <row r="70" spans="1:5" x14ac:dyDescent="0.2">
      <c r="A70" s="1" t="s">
        <v>48</v>
      </c>
      <c r="C70" s="1">
        <v>855</v>
      </c>
      <c r="D70" s="1">
        <v>3939</v>
      </c>
      <c r="E70" s="2">
        <v>14751.084608231833</v>
      </c>
    </row>
    <row r="71" spans="1:5" x14ac:dyDescent="0.2">
      <c r="A71" s="1" t="s">
        <v>48</v>
      </c>
      <c r="C71" s="1">
        <v>856</v>
      </c>
      <c r="D71" s="1">
        <v>4783</v>
      </c>
      <c r="E71" s="2">
        <v>5851.1878432181647</v>
      </c>
    </row>
    <row r="72" spans="1:5" x14ac:dyDescent="0.2">
      <c r="A72" s="1" t="s">
        <v>48</v>
      </c>
      <c r="C72" s="1">
        <v>857</v>
      </c>
      <c r="D72" s="1">
        <v>24491</v>
      </c>
      <c r="E72" s="2">
        <v>10402.422926343932</v>
      </c>
    </row>
    <row r="73" spans="1:5" x14ac:dyDescent="0.2">
      <c r="A73" s="1" t="s">
        <v>48</v>
      </c>
      <c r="C73" s="1">
        <v>858</v>
      </c>
      <c r="D73" s="1">
        <v>196</v>
      </c>
      <c r="E73" s="2">
        <v>7861.2730563654068</v>
      </c>
    </row>
  </sheetData>
  <autoFilter ref="A1:E73" xr:uid="{00000000-0001-0000-0300-000000000000}"/>
  <pageMargins left="0.75" right="0.75" top="1" bottom="1" header="0.5" footer="0.5"/>
  <headerFooter alignWithMargins="0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94"/>
  <sheetViews>
    <sheetView zoomScale="56" zoomScaleNormal="100" workbookViewId="0">
      <selection sqref="A1:D65536"/>
    </sheetView>
  </sheetViews>
  <sheetFormatPr defaultRowHeight="14.25" x14ac:dyDescent="0.2"/>
  <cols>
    <col min="1" max="1" width="12.28515625" style="1" bestFit="1" customWidth="1"/>
    <col min="2" max="2" width="9.28515625" style="1" bestFit="1" customWidth="1"/>
    <col min="3" max="3" width="12" style="1" bestFit="1" customWidth="1"/>
    <col min="4" max="4" width="16.28515625" style="2" bestFit="1" customWidth="1"/>
  </cols>
  <sheetData>
    <row r="1" spans="1:4" ht="15" x14ac:dyDescent="0.25">
      <c r="A1" s="3" t="s">
        <v>39</v>
      </c>
      <c r="B1" s="3" t="s">
        <v>49</v>
      </c>
      <c r="C1" s="3" t="s">
        <v>50</v>
      </c>
      <c r="D1" s="4" t="s">
        <v>51</v>
      </c>
    </row>
    <row r="2" spans="1:4" x14ac:dyDescent="0.2">
      <c r="A2" s="1" t="s">
        <v>40</v>
      </c>
      <c r="B2" s="1">
        <v>1</v>
      </c>
      <c r="C2" s="1">
        <v>2263</v>
      </c>
      <c r="D2" s="2">
        <v>6652.1465639922835</v>
      </c>
    </row>
    <row r="3" spans="1:4" x14ac:dyDescent="0.2">
      <c r="A3" s="1" t="s">
        <v>40</v>
      </c>
      <c r="B3" s="1">
        <v>2</v>
      </c>
      <c r="C3" s="1">
        <v>48</v>
      </c>
      <c r="D3" s="2">
        <v>26377.914145171962</v>
      </c>
    </row>
    <row r="4" spans="1:4" x14ac:dyDescent="0.2">
      <c r="A4" s="1" t="s">
        <v>40</v>
      </c>
      <c r="B4" s="1">
        <v>3</v>
      </c>
      <c r="C4" s="1">
        <v>10</v>
      </c>
      <c r="D4" s="2">
        <v>8622.8087878787883</v>
      </c>
    </row>
    <row r="5" spans="1:4" x14ac:dyDescent="0.2">
      <c r="A5" s="1" t="s">
        <v>40</v>
      </c>
      <c r="B5" s="1">
        <v>4</v>
      </c>
      <c r="C5" s="1">
        <v>218</v>
      </c>
      <c r="D5" s="2">
        <v>7231.0785715940501</v>
      </c>
    </row>
    <row r="6" spans="1:4" x14ac:dyDescent="0.2">
      <c r="A6" s="1" t="s">
        <v>40</v>
      </c>
      <c r="B6" s="1">
        <v>8</v>
      </c>
      <c r="C6" s="1">
        <v>57</v>
      </c>
      <c r="D6" s="2">
        <v>19573.105582137159</v>
      </c>
    </row>
    <row r="7" spans="1:4" x14ac:dyDescent="0.2">
      <c r="A7" s="1" t="s">
        <v>40</v>
      </c>
      <c r="B7" s="1">
        <v>10</v>
      </c>
      <c r="C7" s="1">
        <v>2244</v>
      </c>
      <c r="D7" s="2">
        <v>8616.7404459832524</v>
      </c>
    </row>
    <row r="8" spans="1:4" x14ac:dyDescent="0.2">
      <c r="A8" s="1" t="s">
        <v>40</v>
      </c>
      <c r="B8" s="1">
        <v>11</v>
      </c>
      <c r="C8" s="1">
        <v>514</v>
      </c>
      <c r="D8" s="2">
        <v>7887.1989489811995</v>
      </c>
    </row>
    <row r="9" spans="1:4" x14ac:dyDescent="0.2">
      <c r="A9" s="1" t="s">
        <v>40</v>
      </c>
      <c r="B9" s="1">
        <v>13</v>
      </c>
      <c r="C9" s="1">
        <v>268</v>
      </c>
      <c r="D9" s="2">
        <v>10840.440345351171</v>
      </c>
    </row>
    <row r="10" spans="1:4" x14ac:dyDescent="0.2">
      <c r="A10" s="1" t="s">
        <v>40</v>
      </c>
      <c r="B10" s="1">
        <v>16</v>
      </c>
      <c r="C10" s="1">
        <v>136</v>
      </c>
      <c r="D10" s="2">
        <v>12856.6831526929</v>
      </c>
    </row>
    <row r="11" spans="1:4" x14ac:dyDescent="0.2">
      <c r="A11" s="1" t="s">
        <v>40</v>
      </c>
      <c r="B11" s="1">
        <v>18</v>
      </c>
      <c r="C11" s="1">
        <v>363</v>
      </c>
      <c r="D11" s="2">
        <v>9737.2112910887663</v>
      </c>
    </row>
    <row r="12" spans="1:4" x14ac:dyDescent="0.2">
      <c r="A12" s="1" t="s">
        <v>40</v>
      </c>
      <c r="B12" s="1">
        <v>20</v>
      </c>
      <c r="C12" s="1">
        <v>417</v>
      </c>
      <c r="D12" s="2">
        <v>15336.7691314481</v>
      </c>
    </row>
    <row r="13" spans="1:4" x14ac:dyDescent="0.2">
      <c r="A13" s="1" t="s">
        <v>40</v>
      </c>
      <c r="B13" s="1">
        <v>21</v>
      </c>
      <c r="C13" s="1">
        <v>352</v>
      </c>
      <c r="D13" s="2">
        <v>20514.635362759083</v>
      </c>
    </row>
    <row r="14" spans="1:4" x14ac:dyDescent="0.2">
      <c r="A14" s="1" t="s">
        <v>40</v>
      </c>
      <c r="B14" s="1">
        <v>22</v>
      </c>
      <c r="C14" s="1">
        <v>303</v>
      </c>
      <c r="D14" s="2">
        <v>13734.502472271028</v>
      </c>
    </row>
    <row r="15" spans="1:4" x14ac:dyDescent="0.2">
      <c r="A15" s="1" t="s">
        <v>40</v>
      </c>
      <c r="B15" s="1">
        <v>23</v>
      </c>
      <c r="C15" s="1">
        <v>1243</v>
      </c>
      <c r="D15" s="2">
        <v>14270.962735503517</v>
      </c>
    </row>
    <row r="16" spans="1:4" x14ac:dyDescent="0.2">
      <c r="A16" s="1" t="s">
        <v>40</v>
      </c>
      <c r="B16" s="1">
        <v>26</v>
      </c>
      <c r="C16" s="1">
        <v>2059</v>
      </c>
      <c r="D16" s="2">
        <v>24169.086703747373</v>
      </c>
    </row>
    <row r="17" spans="1:4" x14ac:dyDescent="0.2">
      <c r="A17" s="1" t="s">
        <v>40</v>
      </c>
      <c r="B17" s="1">
        <v>27</v>
      </c>
      <c r="C17" s="1">
        <v>708</v>
      </c>
      <c r="D17" s="2">
        <v>18826.608287067636</v>
      </c>
    </row>
    <row r="18" spans="1:4" x14ac:dyDescent="0.2">
      <c r="A18" s="1" t="s">
        <v>40</v>
      </c>
      <c r="B18" s="1">
        <v>29</v>
      </c>
      <c r="C18" s="1">
        <v>734</v>
      </c>
      <c r="D18" s="2">
        <v>23947.424622195074</v>
      </c>
    </row>
    <row r="19" spans="1:4" x14ac:dyDescent="0.2">
      <c r="A19" s="1" t="s">
        <v>40</v>
      </c>
      <c r="B19" s="1">
        <v>31</v>
      </c>
      <c r="C19" s="1">
        <v>519</v>
      </c>
      <c r="D19" s="2">
        <v>10378.475224304704</v>
      </c>
    </row>
    <row r="20" spans="1:4" x14ac:dyDescent="0.2">
      <c r="A20" s="1" t="s">
        <v>40</v>
      </c>
      <c r="B20" s="1">
        <v>32</v>
      </c>
      <c r="C20" s="1">
        <v>436</v>
      </c>
      <c r="D20" s="2">
        <v>13745.410598448443</v>
      </c>
    </row>
    <row r="21" spans="1:4" x14ac:dyDescent="0.2">
      <c r="A21" s="1" t="s">
        <v>40</v>
      </c>
      <c r="B21" s="1">
        <v>33</v>
      </c>
      <c r="C21" s="1">
        <v>96</v>
      </c>
      <c r="D21" s="2">
        <v>16423.973121843435</v>
      </c>
    </row>
    <row r="22" spans="1:4" x14ac:dyDescent="0.2">
      <c r="A22" s="1" t="s">
        <v>40</v>
      </c>
      <c r="B22" s="1">
        <v>34</v>
      </c>
      <c r="C22" s="1">
        <v>30</v>
      </c>
      <c r="D22" s="2">
        <v>10279.941103896104</v>
      </c>
    </row>
    <row r="23" spans="1:4" x14ac:dyDescent="0.2">
      <c r="A23" s="1" t="s">
        <v>40</v>
      </c>
      <c r="B23" s="1">
        <v>35</v>
      </c>
      <c r="C23" s="1">
        <v>349</v>
      </c>
      <c r="D23" s="2">
        <v>27878.830897183037</v>
      </c>
    </row>
    <row r="24" spans="1:4" x14ac:dyDescent="0.2">
      <c r="A24" s="1" t="s">
        <v>40</v>
      </c>
      <c r="B24" s="1">
        <v>36</v>
      </c>
      <c r="C24" s="1">
        <v>160</v>
      </c>
      <c r="D24" s="2">
        <v>18146.19171085858</v>
      </c>
    </row>
    <row r="25" spans="1:4" x14ac:dyDescent="0.2">
      <c r="A25" s="1" t="s">
        <v>40</v>
      </c>
      <c r="B25" s="1">
        <v>37</v>
      </c>
      <c r="C25" s="1">
        <v>20</v>
      </c>
      <c r="D25" s="2">
        <v>17258.933333333334</v>
      </c>
    </row>
    <row r="26" spans="1:4" x14ac:dyDescent="0.2">
      <c r="A26" s="1" t="s">
        <v>40</v>
      </c>
      <c r="B26" s="1">
        <v>38</v>
      </c>
      <c r="C26" s="1">
        <v>120</v>
      </c>
      <c r="D26" s="2">
        <v>14335.24593915343</v>
      </c>
    </row>
    <row r="27" spans="1:4" x14ac:dyDescent="0.2">
      <c r="A27" s="1" t="s">
        <v>40</v>
      </c>
      <c r="B27" s="1">
        <v>39</v>
      </c>
      <c r="C27" s="1">
        <v>15</v>
      </c>
      <c r="D27" s="2">
        <v>8769.5116594516603</v>
      </c>
    </row>
    <row r="28" spans="1:4" x14ac:dyDescent="0.2">
      <c r="A28" s="1" t="s">
        <v>40</v>
      </c>
      <c r="B28" s="1">
        <v>41</v>
      </c>
      <c r="C28" s="1">
        <v>3250</v>
      </c>
      <c r="D28" s="2">
        <v>13523.321473015865</v>
      </c>
    </row>
    <row r="29" spans="1:4" x14ac:dyDescent="0.2">
      <c r="A29" s="1" t="s">
        <v>40</v>
      </c>
      <c r="B29" s="1">
        <v>42</v>
      </c>
      <c r="C29" s="1">
        <v>1039</v>
      </c>
      <c r="D29" s="2">
        <v>16020.138094439508</v>
      </c>
    </row>
    <row r="30" spans="1:4" x14ac:dyDescent="0.2">
      <c r="A30" s="1" t="s">
        <v>40</v>
      </c>
      <c r="B30" s="1">
        <v>43</v>
      </c>
      <c r="C30" s="1">
        <v>2878</v>
      </c>
      <c r="D30" s="2">
        <v>11550.337334027261</v>
      </c>
    </row>
    <row r="31" spans="1:4" x14ac:dyDescent="0.2">
      <c r="A31" s="1" t="s">
        <v>40</v>
      </c>
      <c r="B31" s="1">
        <v>45</v>
      </c>
      <c r="C31" s="1">
        <v>1223</v>
      </c>
      <c r="D31" s="2">
        <v>12589.169872861297</v>
      </c>
    </row>
    <row r="32" spans="1:4" x14ac:dyDescent="0.2">
      <c r="A32" s="1" t="s">
        <v>40</v>
      </c>
      <c r="B32" s="1">
        <v>46</v>
      </c>
      <c r="C32" s="1">
        <v>6293</v>
      </c>
      <c r="D32" s="2">
        <v>12737.138079765897</v>
      </c>
    </row>
    <row r="33" spans="1:4" x14ac:dyDescent="0.2">
      <c r="A33" s="1" t="s">
        <v>40</v>
      </c>
      <c r="B33" s="1">
        <v>47</v>
      </c>
      <c r="C33" s="1">
        <v>13596</v>
      </c>
      <c r="D33" s="2">
        <v>6117.2480576129938</v>
      </c>
    </row>
    <row r="34" spans="1:4" x14ac:dyDescent="0.2">
      <c r="A34" s="1" t="s">
        <v>40</v>
      </c>
      <c r="B34" s="1">
        <v>49</v>
      </c>
      <c r="C34" s="1">
        <v>2838</v>
      </c>
      <c r="D34" s="2">
        <v>11706.506088685606</v>
      </c>
    </row>
    <row r="35" spans="1:4" x14ac:dyDescent="0.2">
      <c r="A35" s="1" t="s">
        <v>40</v>
      </c>
      <c r="B35" s="1">
        <v>51</v>
      </c>
      <c r="C35" s="1">
        <v>162</v>
      </c>
      <c r="D35" s="2">
        <v>19690.90860434149</v>
      </c>
    </row>
    <row r="36" spans="1:4" x14ac:dyDescent="0.2">
      <c r="A36" s="1" t="s">
        <v>40</v>
      </c>
      <c r="B36" s="1">
        <v>52</v>
      </c>
      <c r="C36" s="1">
        <v>1357</v>
      </c>
      <c r="D36" s="2">
        <v>13032.892409408332</v>
      </c>
    </row>
    <row r="37" spans="1:4" x14ac:dyDescent="0.2">
      <c r="A37" s="1" t="s">
        <v>40</v>
      </c>
      <c r="B37" s="1">
        <v>55</v>
      </c>
      <c r="C37" s="1">
        <v>1093</v>
      </c>
      <c r="D37" s="2">
        <v>7395.6055388217601</v>
      </c>
    </row>
    <row r="38" spans="1:4" x14ac:dyDescent="0.2">
      <c r="A38" s="1" t="s">
        <v>40</v>
      </c>
      <c r="B38" s="1">
        <v>56</v>
      </c>
      <c r="C38" s="1">
        <v>8604</v>
      </c>
      <c r="D38" s="2">
        <v>4231.5993966823307</v>
      </c>
    </row>
    <row r="39" spans="1:4" x14ac:dyDescent="0.2">
      <c r="A39" s="1" t="s">
        <v>40</v>
      </c>
      <c r="B39" s="1">
        <v>58</v>
      </c>
      <c r="C39" s="1">
        <v>428</v>
      </c>
      <c r="D39" s="2">
        <v>9249.0844926231639</v>
      </c>
    </row>
    <row r="40" spans="1:4" x14ac:dyDescent="0.2">
      <c r="A40" s="1" t="s">
        <v>40</v>
      </c>
      <c r="B40" s="1">
        <v>59</v>
      </c>
      <c r="C40" s="1">
        <v>151</v>
      </c>
      <c r="D40" s="2">
        <v>6831.9045339869826</v>
      </c>
    </row>
    <row r="41" spans="1:4" x14ac:dyDescent="0.2">
      <c r="A41" s="1" t="s">
        <v>40</v>
      </c>
      <c r="B41" s="1">
        <v>60</v>
      </c>
      <c r="C41" s="1">
        <v>161</v>
      </c>
      <c r="D41" s="2">
        <v>13340.675630304821</v>
      </c>
    </row>
    <row r="42" spans="1:4" x14ac:dyDescent="0.2">
      <c r="A42" s="1" t="s">
        <v>40</v>
      </c>
      <c r="B42" s="1">
        <v>61</v>
      </c>
      <c r="C42" s="1">
        <v>951</v>
      </c>
      <c r="D42" s="2">
        <v>15910.124147627725</v>
      </c>
    </row>
    <row r="43" spans="1:4" x14ac:dyDescent="0.2">
      <c r="A43" s="1" t="s">
        <v>40</v>
      </c>
      <c r="B43" s="1">
        <v>62</v>
      </c>
      <c r="C43" s="1">
        <v>8334</v>
      </c>
      <c r="D43" s="2">
        <v>23549.681156957649</v>
      </c>
    </row>
    <row r="44" spans="1:4" x14ac:dyDescent="0.2">
      <c r="A44" s="1" t="s">
        <v>40</v>
      </c>
      <c r="B44" s="1">
        <v>63</v>
      </c>
      <c r="C44" s="1">
        <v>255</v>
      </c>
      <c r="D44" s="2">
        <v>19669.940141470735</v>
      </c>
    </row>
    <row r="45" spans="1:4" x14ac:dyDescent="0.2">
      <c r="A45" s="1" t="s">
        <v>40</v>
      </c>
      <c r="B45" s="1">
        <v>64</v>
      </c>
      <c r="C45" s="1">
        <v>4176</v>
      </c>
      <c r="D45" s="2">
        <v>19166.415390780068</v>
      </c>
    </row>
    <row r="46" spans="1:4" x14ac:dyDescent="0.2">
      <c r="A46" s="1" t="s">
        <v>40</v>
      </c>
      <c r="B46" s="1">
        <v>68</v>
      </c>
      <c r="C46" s="1">
        <v>1463</v>
      </c>
      <c r="D46" s="2">
        <v>11552.951729974264</v>
      </c>
    </row>
    <row r="47" spans="1:4" x14ac:dyDescent="0.2">
      <c r="A47" s="1" t="s">
        <v>40</v>
      </c>
      <c r="B47" s="1">
        <v>69</v>
      </c>
      <c r="C47" s="1">
        <v>2859</v>
      </c>
      <c r="D47" s="2">
        <v>12143.924636890088</v>
      </c>
    </row>
    <row r="48" spans="1:4" x14ac:dyDescent="0.2">
      <c r="A48" s="1" t="s">
        <v>40</v>
      </c>
      <c r="B48" s="1">
        <v>70</v>
      </c>
      <c r="C48" s="1">
        <v>2024</v>
      </c>
      <c r="D48" s="2">
        <v>13763.721511754344</v>
      </c>
    </row>
    <row r="49" spans="1:4" x14ac:dyDescent="0.2">
      <c r="A49" s="1" t="s">
        <v>40</v>
      </c>
      <c r="B49" s="1">
        <v>71</v>
      </c>
      <c r="C49" s="1">
        <v>2414</v>
      </c>
      <c r="D49" s="2">
        <v>14718.826560237829</v>
      </c>
    </row>
    <row r="50" spans="1:4" x14ac:dyDescent="0.2">
      <c r="A50" s="1" t="s">
        <v>40</v>
      </c>
      <c r="B50" s="1">
        <v>72</v>
      </c>
      <c r="C50" s="1">
        <v>1770</v>
      </c>
      <c r="D50" s="2">
        <v>23988.112167824318</v>
      </c>
    </row>
    <row r="51" spans="1:4" x14ac:dyDescent="0.2">
      <c r="A51" s="1" t="s">
        <v>40</v>
      </c>
      <c r="B51" s="1">
        <v>73</v>
      </c>
      <c r="C51" s="1">
        <v>1055</v>
      </c>
      <c r="D51" s="2">
        <v>8329.4395869322852</v>
      </c>
    </row>
    <row r="52" spans="1:4" x14ac:dyDescent="0.2">
      <c r="A52" s="1" t="s">
        <v>40</v>
      </c>
      <c r="B52" s="1">
        <v>74</v>
      </c>
      <c r="C52" s="1">
        <v>1232</v>
      </c>
      <c r="D52" s="2">
        <v>9456.0798709204682</v>
      </c>
    </row>
    <row r="53" spans="1:4" x14ac:dyDescent="0.2">
      <c r="A53" s="1" t="s">
        <v>40</v>
      </c>
      <c r="B53" s="1">
        <v>75</v>
      </c>
      <c r="C53" s="1">
        <v>85</v>
      </c>
      <c r="D53" s="2">
        <v>7575.7988090993977</v>
      </c>
    </row>
    <row r="54" spans="1:4" x14ac:dyDescent="0.2">
      <c r="A54" s="1" t="s">
        <v>40</v>
      </c>
      <c r="B54" s="1">
        <v>77</v>
      </c>
      <c r="C54" s="1">
        <v>609</v>
      </c>
      <c r="D54" s="2">
        <v>9633.0320478417725</v>
      </c>
    </row>
    <row r="55" spans="1:4" x14ac:dyDescent="0.2">
      <c r="A55" s="1" t="s">
        <v>40</v>
      </c>
      <c r="B55" s="1">
        <v>78</v>
      </c>
      <c r="C55" s="1">
        <v>1786</v>
      </c>
      <c r="D55" s="2">
        <v>6891.3201842250728</v>
      </c>
    </row>
    <row r="56" spans="1:4" x14ac:dyDescent="0.2">
      <c r="A56" s="1" t="s">
        <v>40</v>
      </c>
      <c r="B56" s="1">
        <v>79</v>
      </c>
      <c r="C56" s="1">
        <v>986</v>
      </c>
      <c r="D56" s="2">
        <v>8686.8736532230432</v>
      </c>
    </row>
    <row r="57" spans="1:4" x14ac:dyDescent="0.2">
      <c r="A57" s="1" t="s">
        <v>40</v>
      </c>
      <c r="B57" s="1">
        <v>80</v>
      </c>
      <c r="C57" s="1">
        <v>2511</v>
      </c>
      <c r="D57" s="2">
        <v>7725.4742415334949</v>
      </c>
    </row>
    <row r="58" spans="1:4" x14ac:dyDescent="0.2">
      <c r="A58" s="1" t="s">
        <v>40</v>
      </c>
      <c r="B58" s="1">
        <v>81</v>
      </c>
      <c r="C58" s="1">
        <v>3230</v>
      </c>
      <c r="D58" s="2">
        <v>7148.0902493309895</v>
      </c>
    </row>
    <row r="59" spans="1:4" x14ac:dyDescent="0.2">
      <c r="A59" s="1" t="s">
        <v>40</v>
      </c>
      <c r="B59" s="1">
        <v>82</v>
      </c>
      <c r="C59" s="1">
        <v>1935</v>
      </c>
      <c r="D59" s="2">
        <v>6810.9549246246152</v>
      </c>
    </row>
    <row r="60" spans="1:4" x14ac:dyDescent="0.2">
      <c r="A60" s="1" t="s">
        <v>40</v>
      </c>
      <c r="B60" s="1">
        <v>83</v>
      </c>
      <c r="C60" s="1">
        <v>12982</v>
      </c>
      <c r="D60" s="2">
        <v>8664.7024689335267</v>
      </c>
    </row>
    <row r="61" spans="1:4" x14ac:dyDescent="0.2">
      <c r="A61" s="1" t="s">
        <v>40</v>
      </c>
      <c r="B61" s="1">
        <v>84</v>
      </c>
      <c r="C61" s="1">
        <v>4438</v>
      </c>
      <c r="D61" s="2">
        <v>16380.801355772677</v>
      </c>
    </row>
    <row r="62" spans="1:4" x14ac:dyDescent="0.2">
      <c r="A62" s="1" t="s">
        <v>40</v>
      </c>
      <c r="B62" s="1">
        <v>85</v>
      </c>
      <c r="C62" s="1">
        <v>41865</v>
      </c>
      <c r="D62" s="2">
        <v>9107.6989571053109</v>
      </c>
    </row>
    <row r="63" spans="1:4" x14ac:dyDescent="0.2">
      <c r="A63" s="1" t="s">
        <v>40</v>
      </c>
      <c r="B63" s="1">
        <v>86</v>
      </c>
      <c r="C63" s="1">
        <v>8340</v>
      </c>
      <c r="D63" s="2">
        <v>13732.800193074982</v>
      </c>
    </row>
    <row r="64" spans="1:4" x14ac:dyDescent="0.2">
      <c r="A64" s="1" t="s">
        <v>40</v>
      </c>
      <c r="B64" s="1">
        <v>87</v>
      </c>
      <c r="C64" s="1">
        <v>1403</v>
      </c>
      <c r="D64" s="2">
        <v>8547.0327846225191</v>
      </c>
    </row>
    <row r="65" spans="1:4" x14ac:dyDescent="0.2">
      <c r="A65" s="1" t="s">
        <v>40</v>
      </c>
      <c r="B65" s="1">
        <v>88</v>
      </c>
      <c r="C65" s="1">
        <v>9957</v>
      </c>
      <c r="D65" s="2">
        <v>5024.2137144012195</v>
      </c>
    </row>
    <row r="66" spans="1:4" x14ac:dyDescent="0.2">
      <c r="A66" s="1" t="s">
        <v>40</v>
      </c>
      <c r="B66" s="1">
        <v>90</v>
      </c>
      <c r="C66" s="1">
        <v>776</v>
      </c>
      <c r="D66" s="2">
        <v>5147.809521392126</v>
      </c>
    </row>
    <row r="67" spans="1:4" x14ac:dyDescent="0.2">
      <c r="A67" s="1" t="s">
        <v>40</v>
      </c>
      <c r="B67" s="1">
        <v>91</v>
      </c>
      <c r="C67" s="1">
        <v>1058</v>
      </c>
      <c r="D67" s="2">
        <v>9572.0319083353043</v>
      </c>
    </row>
    <row r="68" spans="1:4" x14ac:dyDescent="0.2">
      <c r="A68" s="1" t="s">
        <v>40</v>
      </c>
      <c r="B68" s="1">
        <v>92</v>
      </c>
      <c r="C68" s="1">
        <v>37</v>
      </c>
      <c r="D68" s="2">
        <v>15090.333120783123</v>
      </c>
    </row>
    <row r="69" spans="1:4" x14ac:dyDescent="0.2">
      <c r="A69" s="1" t="s">
        <v>40</v>
      </c>
      <c r="B69" s="1">
        <v>93</v>
      </c>
      <c r="C69" s="1">
        <v>2165</v>
      </c>
      <c r="D69" s="2">
        <v>4358.8656604814241</v>
      </c>
    </row>
    <row r="70" spans="1:4" x14ac:dyDescent="0.2">
      <c r="A70" s="1" t="s">
        <v>40</v>
      </c>
      <c r="B70" s="1">
        <v>94</v>
      </c>
      <c r="C70" s="1">
        <v>9080</v>
      </c>
      <c r="D70" s="2">
        <v>5643.6272372601279</v>
      </c>
    </row>
    <row r="71" spans="1:4" x14ac:dyDescent="0.2">
      <c r="A71" s="1" t="s">
        <v>40</v>
      </c>
      <c r="B71" s="1">
        <v>95</v>
      </c>
      <c r="C71" s="1">
        <v>303</v>
      </c>
      <c r="D71" s="2">
        <v>8993.8439012948966</v>
      </c>
    </row>
    <row r="72" spans="1:4" x14ac:dyDescent="0.2">
      <c r="A72" s="1" t="s">
        <v>40</v>
      </c>
      <c r="B72" s="1">
        <v>96</v>
      </c>
      <c r="C72" s="1">
        <v>886</v>
      </c>
      <c r="D72" s="2">
        <v>6831.8034775764672</v>
      </c>
    </row>
    <row r="73" spans="1:4" x14ac:dyDescent="0.2">
      <c r="A73" s="1" t="s">
        <v>40</v>
      </c>
      <c r="B73" s="1">
        <v>99</v>
      </c>
      <c r="C73" s="1">
        <v>61</v>
      </c>
      <c r="D73" s="2">
        <v>22218.943641331349</v>
      </c>
    </row>
    <row r="74" spans="1:4" x14ac:dyDescent="0.2">
      <c r="A74" s="1" t="s">
        <v>42</v>
      </c>
      <c r="B74" s="1">
        <v>1</v>
      </c>
      <c r="C74" s="1">
        <v>12161</v>
      </c>
      <c r="D74" s="2">
        <v>8791.0437365864236</v>
      </c>
    </row>
    <row r="75" spans="1:4" x14ac:dyDescent="0.2">
      <c r="A75" s="1" t="s">
        <v>42</v>
      </c>
      <c r="B75" s="1">
        <v>2</v>
      </c>
      <c r="C75" s="1">
        <v>277</v>
      </c>
      <c r="D75" s="2">
        <v>25524.133078854553</v>
      </c>
    </row>
    <row r="76" spans="1:4" x14ac:dyDescent="0.2">
      <c r="A76" s="1" t="s">
        <v>42</v>
      </c>
      <c r="B76" s="1">
        <v>3</v>
      </c>
      <c r="C76" s="1">
        <v>127</v>
      </c>
      <c r="D76" s="2">
        <v>13250.316593096319</v>
      </c>
    </row>
    <row r="77" spans="1:4" x14ac:dyDescent="0.2">
      <c r="A77" s="1" t="s">
        <v>42</v>
      </c>
      <c r="B77" s="1">
        <v>4</v>
      </c>
      <c r="C77" s="1">
        <v>1163</v>
      </c>
      <c r="D77" s="2">
        <v>10310.6430801691</v>
      </c>
    </row>
    <row r="78" spans="1:4" x14ac:dyDescent="0.2">
      <c r="A78" s="1" t="s">
        <v>42</v>
      </c>
      <c r="B78" s="1">
        <v>6</v>
      </c>
      <c r="C78" s="1">
        <v>64</v>
      </c>
      <c r="D78" s="2">
        <v>32909.485464015146</v>
      </c>
    </row>
    <row r="79" spans="1:4" x14ac:dyDescent="0.2">
      <c r="A79" s="1" t="s">
        <v>42</v>
      </c>
      <c r="B79" s="1">
        <v>8</v>
      </c>
      <c r="C79" s="1">
        <v>2427</v>
      </c>
      <c r="D79" s="2">
        <v>30044.353183387833</v>
      </c>
    </row>
    <row r="80" spans="1:4" x14ac:dyDescent="0.2">
      <c r="A80" s="1" t="s">
        <v>42</v>
      </c>
      <c r="B80" s="1">
        <v>9</v>
      </c>
      <c r="C80" s="1">
        <v>34</v>
      </c>
      <c r="D80" s="2">
        <v>12440.106149732619</v>
      </c>
    </row>
    <row r="81" spans="1:4" x14ac:dyDescent="0.2">
      <c r="A81" s="1" t="s">
        <v>42</v>
      </c>
      <c r="B81" s="1">
        <v>10</v>
      </c>
      <c r="C81" s="1">
        <v>13739</v>
      </c>
      <c r="D81" s="2">
        <v>9487.5820643133811</v>
      </c>
    </row>
    <row r="82" spans="1:4" x14ac:dyDescent="0.2">
      <c r="A82" s="1" t="s">
        <v>42</v>
      </c>
      <c r="B82" s="1">
        <v>11</v>
      </c>
      <c r="C82" s="1">
        <v>967</v>
      </c>
      <c r="D82" s="2">
        <v>13358.423052433034</v>
      </c>
    </row>
    <row r="83" spans="1:4" x14ac:dyDescent="0.2">
      <c r="A83" s="1" t="s">
        <v>42</v>
      </c>
      <c r="B83" s="1">
        <v>12</v>
      </c>
      <c r="C83" s="1">
        <v>11</v>
      </c>
      <c r="D83" s="2">
        <v>13590.113636363636</v>
      </c>
    </row>
    <row r="84" spans="1:4" x14ac:dyDescent="0.2">
      <c r="A84" s="1" t="s">
        <v>42</v>
      </c>
      <c r="B84" s="1">
        <v>13</v>
      </c>
      <c r="C84" s="1">
        <v>1208</v>
      </c>
      <c r="D84" s="2">
        <v>8765.0746132385793</v>
      </c>
    </row>
    <row r="85" spans="1:4" x14ac:dyDescent="0.2">
      <c r="A85" s="1" t="s">
        <v>42</v>
      </c>
      <c r="B85" s="1">
        <v>16</v>
      </c>
      <c r="C85" s="1">
        <v>1560</v>
      </c>
      <c r="D85" s="2">
        <v>11204.836094784861</v>
      </c>
    </row>
    <row r="86" spans="1:4" x14ac:dyDescent="0.2">
      <c r="A86" s="1" t="s">
        <v>42</v>
      </c>
      <c r="B86" s="1">
        <v>18</v>
      </c>
      <c r="C86" s="1">
        <v>940</v>
      </c>
      <c r="D86" s="2">
        <v>9976.9921417825772</v>
      </c>
    </row>
    <row r="87" spans="1:4" x14ac:dyDescent="0.2">
      <c r="A87" s="1" t="s">
        <v>42</v>
      </c>
      <c r="B87" s="1">
        <v>19</v>
      </c>
      <c r="C87" s="1">
        <v>324</v>
      </c>
      <c r="D87" s="2">
        <v>24765.350565954966</v>
      </c>
    </row>
    <row r="88" spans="1:4" x14ac:dyDescent="0.2">
      <c r="A88" s="1" t="s">
        <v>42</v>
      </c>
      <c r="B88" s="1">
        <v>20</v>
      </c>
      <c r="C88" s="1">
        <v>7071</v>
      </c>
      <c r="D88" s="2">
        <v>21125.606055988916</v>
      </c>
    </row>
    <row r="89" spans="1:4" x14ac:dyDescent="0.2">
      <c r="A89" s="1" t="s">
        <v>42</v>
      </c>
      <c r="B89" s="1">
        <v>21</v>
      </c>
      <c r="C89" s="1">
        <v>2758</v>
      </c>
      <c r="D89" s="2">
        <v>18284.771167975712</v>
      </c>
    </row>
    <row r="90" spans="1:4" x14ac:dyDescent="0.2">
      <c r="A90" s="1" t="s">
        <v>42</v>
      </c>
      <c r="B90" s="1">
        <v>22</v>
      </c>
      <c r="C90" s="1">
        <v>3162</v>
      </c>
      <c r="D90" s="2">
        <v>12486.246018842503</v>
      </c>
    </row>
    <row r="91" spans="1:4" x14ac:dyDescent="0.2">
      <c r="A91" s="1" t="s">
        <v>42</v>
      </c>
      <c r="B91" s="1">
        <v>23</v>
      </c>
      <c r="C91" s="1">
        <v>9813</v>
      </c>
      <c r="D91" s="2">
        <v>12658.810395132086</v>
      </c>
    </row>
    <row r="92" spans="1:4" x14ac:dyDescent="0.2">
      <c r="A92" s="1" t="s">
        <v>42</v>
      </c>
      <c r="B92" s="1">
        <v>26</v>
      </c>
      <c r="C92" s="1">
        <v>9141</v>
      </c>
      <c r="D92" s="2">
        <v>17607.807759558375</v>
      </c>
    </row>
    <row r="93" spans="1:4" x14ac:dyDescent="0.2">
      <c r="A93" s="1" t="s">
        <v>42</v>
      </c>
      <c r="B93" s="1">
        <v>27</v>
      </c>
      <c r="C93" s="1">
        <v>7009</v>
      </c>
      <c r="D93" s="2">
        <v>14831.813965717562</v>
      </c>
    </row>
    <row r="94" spans="1:4" x14ac:dyDescent="0.2">
      <c r="A94" s="1" t="s">
        <v>42</v>
      </c>
      <c r="B94" s="1">
        <v>29</v>
      </c>
      <c r="C94" s="1">
        <v>4526</v>
      </c>
      <c r="D94" s="2">
        <v>21416.772356925663</v>
      </c>
    </row>
    <row r="95" spans="1:4" x14ac:dyDescent="0.2">
      <c r="A95" s="1" t="s">
        <v>42</v>
      </c>
      <c r="B95" s="1">
        <v>31</v>
      </c>
      <c r="C95" s="1">
        <v>2098</v>
      </c>
      <c r="D95" s="2">
        <v>9513.7933597688843</v>
      </c>
    </row>
    <row r="96" spans="1:4" x14ac:dyDescent="0.2">
      <c r="A96" s="1" t="s">
        <v>42</v>
      </c>
      <c r="B96" s="1">
        <v>32</v>
      </c>
      <c r="C96" s="1">
        <v>1247</v>
      </c>
      <c r="D96" s="2">
        <v>10588.418880667141</v>
      </c>
    </row>
    <row r="97" spans="1:4" x14ac:dyDescent="0.2">
      <c r="A97" s="1" t="s">
        <v>42</v>
      </c>
      <c r="B97" s="1">
        <v>33</v>
      </c>
      <c r="C97" s="1">
        <v>2127</v>
      </c>
      <c r="D97" s="2">
        <v>14401.194269394866</v>
      </c>
    </row>
    <row r="98" spans="1:4" x14ac:dyDescent="0.2">
      <c r="A98" s="1" t="s">
        <v>42</v>
      </c>
      <c r="B98" s="1">
        <v>34</v>
      </c>
      <c r="C98" s="1">
        <v>28</v>
      </c>
      <c r="D98" s="2">
        <v>12079.273796639867</v>
      </c>
    </row>
    <row r="99" spans="1:4" x14ac:dyDescent="0.2">
      <c r="A99" s="1" t="s">
        <v>42</v>
      </c>
      <c r="B99" s="1">
        <v>35</v>
      </c>
      <c r="C99" s="1">
        <v>2978</v>
      </c>
      <c r="D99" s="2">
        <v>25753.131670732033</v>
      </c>
    </row>
    <row r="100" spans="1:4" x14ac:dyDescent="0.2">
      <c r="A100" s="1" t="s">
        <v>42</v>
      </c>
      <c r="B100" s="1">
        <v>36</v>
      </c>
      <c r="C100" s="1">
        <v>886</v>
      </c>
      <c r="D100" s="2">
        <v>19291.66605314675</v>
      </c>
    </row>
    <row r="101" spans="1:4" x14ac:dyDescent="0.2">
      <c r="A101" s="1" t="s">
        <v>42</v>
      </c>
      <c r="B101" s="1">
        <v>37</v>
      </c>
      <c r="C101" s="1">
        <v>299</v>
      </c>
      <c r="D101" s="2">
        <v>13232.544349008485</v>
      </c>
    </row>
    <row r="102" spans="1:4" x14ac:dyDescent="0.2">
      <c r="A102" s="1" t="s">
        <v>42</v>
      </c>
      <c r="B102" s="1">
        <v>38</v>
      </c>
      <c r="C102" s="1">
        <v>2009</v>
      </c>
      <c r="D102" s="2">
        <v>11538.79297244292</v>
      </c>
    </row>
    <row r="103" spans="1:4" x14ac:dyDescent="0.2">
      <c r="A103" s="1" t="s">
        <v>42</v>
      </c>
      <c r="B103" s="1">
        <v>39</v>
      </c>
      <c r="C103" s="1">
        <v>44</v>
      </c>
      <c r="D103" s="2">
        <v>16108.690151515155</v>
      </c>
    </row>
    <row r="104" spans="1:4" x14ac:dyDescent="0.2">
      <c r="A104" s="1" t="s">
        <v>42</v>
      </c>
      <c r="B104" s="1">
        <v>41</v>
      </c>
      <c r="C104" s="1">
        <v>12242</v>
      </c>
      <c r="D104" s="2">
        <v>12627.319143208128</v>
      </c>
    </row>
    <row r="105" spans="1:4" x14ac:dyDescent="0.2">
      <c r="A105" s="1" t="s">
        <v>42</v>
      </c>
      <c r="B105" s="1">
        <v>42</v>
      </c>
      <c r="C105" s="1">
        <v>8934</v>
      </c>
      <c r="D105" s="2">
        <v>11761.361795442526</v>
      </c>
    </row>
    <row r="106" spans="1:4" x14ac:dyDescent="0.2">
      <c r="A106" s="1" t="s">
        <v>42</v>
      </c>
      <c r="B106" s="1">
        <v>43</v>
      </c>
      <c r="C106" s="1">
        <v>18355</v>
      </c>
      <c r="D106" s="2">
        <v>10344.089263784286</v>
      </c>
    </row>
    <row r="107" spans="1:4" x14ac:dyDescent="0.2">
      <c r="A107" s="1" t="s">
        <v>42</v>
      </c>
      <c r="B107" s="1">
        <v>45</v>
      </c>
      <c r="C107" s="1">
        <v>7888</v>
      </c>
      <c r="D107" s="2">
        <v>10540.141400521852</v>
      </c>
    </row>
    <row r="108" spans="1:4" x14ac:dyDescent="0.2">
      <c r="A108" s="1" t="s">
        <v>42</v>
      </c>
      <c r="B108" s="1">
        <v>46</v>
      </c>
      <c r="C108" s="1">
        <v>22565</v>
      </c>
      <c r="D108" s="2">
        <v>11237.695600752881</v>
      </c>
    </row>
    <row r="109" spans="1:4" x14ac:dyDescent="0.2">
      <c r="A109" s="1" t="s">
        <v>42</v>
      </c>
      <c r="B109" s="1">
        <v>47</v>
      </c>
      <c r="C109" s="1">
        <v>51869</v>
      </c>
      <c r="D109" s="2">
        <v>6788.3430742615228</v>
      </c>
    </row>
    <row r="110" spans="1:4" x14ac:dyDescent="0.2">
      <c r="A110" s="1" t="s">
        <v>42</v>
      </c>
      <c r="B110" s="1">
        <v>49</v>
      </c>
      <c r="C110" s="1">
        <v>20750</v>
      </c>
      <c r="D110" s="2">
        <v>10974.001285399638</v>
      </c>
    </row>
    <row r="111" spans="1:4" x14ac:dyDescent="0.2">
      <c r="A111" s="1" t="s">
        <v>42</v>
      </c>
      <c r="B111" s="1">
        <v>50</v>
      </c>
      <c r="C111" s="1">
        <v>45</v>
      </c>
      <c r="D111" s="2">
        <v>30738.32923280423</v>
      </c>
    </row>
    <row r="112" spans="1:4" x14ac:dyDescent="0.2">
      <c r="A112" s="1" t="s">
        <v>42</v>
      </c>
      <c r="B112" s="1">
        <v>51</v>
      </c>
      <c r="C112" s="1">
        <v>452</v>
      </c>
      <c r="D112" s="2">
        <v>17211.724674047691</v>
      </c>
    </row>
    <row r="113" spans="1:4" x14ac:dyDescent="0.2">
      <c r="A113" s="1" t="s">
        <v>42</v>
      </c>
      <c r="B113" s="1">
        <v>52</v>
      </c>
      <c r="C113" s="1">
        <v>9581</v>
      </c>
      <c r="D113" s="2">
        <v>13776.853185755945</v>
      </c>
    </row>
    <row r="114" spans="1:4" x14ac:dyDescent="0.2">
      <c r="A114" s="1" t="s">
        <v>42</v>
      </c>
      <c r="B114" s="1">
        <v>55</v>
      </c>
      <c r="C114" s="1">
        <v>10036</v>
      </c>
      <c r="D114" s="2">
        <v>9458.2322225737644</v>
      </c>
    </row>
    <row r="115" spans="1:4" x14ac:dyDescent="0.2">
      <c r="A115" s="1" t="s">
        <v>42</v>
      </c>
      <c r="B115" s="1">
        <v>56</v>
      </c>
      <c r="C115" s="1">
        <v>33497</v>
      </c>
      <c r="D115" s="2">
        <v>4895.2676518607414</v>
      </c>
    </row>
    <row r="116" spans="1:4" x14ac:dyDescent="0.2">
      <c r="A116" s="1" t="s">
        <v>42</v>
      </c>
      <c r="B116" s="1">
        <v>58</v>
      </c>
      <c r="C116" s="1">
        <v>519</v>
      </c>
      <c r="D116" s="2">
        <v>9572.8217858463504</v>
      </c>
    </row>
    <row r="117" spans="1:4" x14ac:dyDescent="0.2">
      <c r="A117" s="1" t="s">
        <v>42</v>
      </c>
      <c r="B117" s="1">
        <v>59</v>
      </c>
      <c r="C117" s="1">
        <v>798</v>
      </c>
      <c r="D117" s="2">
        <v>4930.8002118843251</v>
      </c>
    </row>
    <row r="118" spans="1:4" x14ac:dyDescent="0.2">
      <c r="A118" s="1" t="s">
        <v>42</v>
      </c>
      <c r="B118" s="1">
        <v>60</v>
      </c>
      <c r="C118" s="1">
        <v>229</v>
      </c>
      <c r="D118" s="2">
        <v>13294.539303042908</v>
      </c>
    </row>
    <row r="119" spans="1:4" x14ac:dyDescent="0.2">
      <c r="A119" s="1" t="s">
        <v>42</v>
      </c>
      <c r="B119" s="1">
        <v>61</v>
      </c>
      <c r="C119" s="1">
        <v>2585</v>
      </c>
      <c r="D119" s="2">
        <v>12976.838377209511</v>
      </c>
    </row>
    <row r="120" spans="1:4" x14ac:dyDescent="0.2">
      <c r="A120" s="1" t="s">
        <v>42</v>
      </c>
      <c r="B120" s="1">
        <v>62</v>
      </c>
      <c r="C120" s="1">
        <v>13557</v>
      </c>
      <c r="D120" s="2">
        <v>22378.005868839173</v>
      </c>
    </row>
    <row r="121" spans="1:4" x14ac:dyDescent="0.2">
      <c r="A121" s="1" t="s">
        <v>42</v>
      </c>
      <c r="B121" s="1">
        <v>63</v>
      </c>
      <c r="C121" s="1">
        <v>321</v>
      </c>
      <c r="D121" s="2">
        <v>16471.853623124873</v>
      </c>
    </row>
    <row r="122" spans="1:4" x14ac:dyDescent="0.2">
      <c r="A122" s="1" t="s">
        <v>42</v>
      </c>
      <c r="B122" s="1">
        <v>64</v>
      </c>
      <c r="C122" s="1">
        <v>8958</v>
      </c>
      <c r="D122" s="2">
        <v>16293.98449268785</v>
      </c>
    </row>
    <row r="123" spans="1:4" x14ac:dyDescent="0.2">
      <c r="A123" s="1" t="s">
        <v>42</v>
      </c>
      <c r="B123" s="1">
        <v>68</v>
      </c>
      <c r="C123" s="1">
        <v>4115</v>
      </c>
      <c r="D123" s="2">
        <v>10846.157636782686</v>
      </c>
    </row>
    <row r="124" spans="1:4" x14ac:dyDescent="0.2">
      <c r="A124" s="1" t="s">
        <v>42</v>
      </c>
      <c r="B124" s="1">
        <v>69</v>
      </c>
      <c r="C124" s="1">
        <v>6766</v>
      </c>
      <c r="D124" s="2">
        <v>10088.898752702686</v>
      </c>
    </row>
    <row r="125" spans="1:4" x14ac:dyDescent="0.2">
      <c r="A125" s="1" t="s">
        <v>42</v>
      </c>
      <c r="B125" s="1">
        <v>70</v>
      </c>
      <c r="C125" s="1">
        <v>4964</v>
      </c>
      <c r="D125" s="2">
        <v>12199.483540386904</v>
      </c>
    </row>
    <row r="126" spans="1:4" x14ac:dyDescent="0.2">
      <c r="A126" s="1" t="s">
        <v>42</v>
      </c>
      <c r="B126" s="1">
        <v>71</v>
      </c>
      <c r="C126" s="1">
        <v>8125</v>
      </c>
      <c r="D126" s="2">
        <v>13544.05999347768</v>
      </c>
    </row>
    <row r="127" spans="1:4" x14ac:dyDescent="0.2">
      <c r="A127" s="1" t="s">
        <v>42</v>
      </c>
      <c r="B127" s="1">
        <v>72</v>
      </c>
      <c r="C127" s="1">
        <v>2996</v>
      </c>
      <c r="D127" s="2">
        <v>22490.669634307989</v>
      </c>
    </row>
    <row r="128" spans="1:4" x14ac:dyDescent="0.2">
      <c r="A128" s="1" t="s">
        <v>42</v>
      </c>
      <c r="B128" s="1">
        <v>73</v>
      </c>
      <c r="C128" s="1">
        <v>2686</v>
      </c>
      <c r="D128" s="2">
        <v>7904.2608135390665</v>
      </c>
    </row>
    <row r="129" spans="1:4" x14ac:dyDescent="0.2">
      <c r="A129" s="1" t="s">
        <v>42</v>
      </c>
      <c r="B129" s="1">
        <v>74</v>
      </c>
      <c r="C129" s="1">
        <v>1744</v>
      </c>
      <c r="D129" s="2">
        <v>10250.715075434875</v>
      </c>
    </row>
    <row r="130" spans="1:4" x14ac:dyDescent="0.2">
      <c r="A130" s="1" t="s">
        <v>42</v>
      </c>
      <c r="B130" s="1">
        <v>75</v>
      </c>
      <c r="C130" s="1">
        <v>435</v>
      </c>
      <c r="D130" s="2">
        <v>11318.307199747884</v>
      </c>
    </row>
    <row r="131" spans="1:4" x14ac:dyDescent="0.2">
      <c r="A131" s="1" t="s">
        <v>42</v>
      </c>
      <c r="B131" s="1">
        <v>77</v>
      </c>
      <c r="C131" s="1">
        <v>1498</v>
      </c>
      <c r="D131" s="2">
        <v>11033.302044308228</v>
      </c>
    </row>
    <row r="132" spans="1:4" x14ac:dyDescent="0.2">
      <c r="A132" s="1" t="s">
        <v>42</v>
      </c>
      <c r="B132" s="1">
        <v>78</v>
      </c>
      <c r="C132" s="1">
        <v>16725</v>
      </c>
      <c r="D132" s="2">
        <v>5035.9241588487994</v>
      </c>
    </row>
    <row r="133" spans="1:4" x14ac:dyDescent="0.2">
      <c r="A133" s="1" t="s">
        <v>42</v>
      </c>
      <c r="B133" s="1">
        <v>79</v>
      </c>
      <c r="C133" s="1">
        <v>1332</v>
      </c>
      <c r="D133" s="2">
        <v>8793.3283748304584</v>
      </c>
    </row>
    <row r="134" spans="1:4" x14ac:dyDescent="0.2">
      <c r="A134" s="1" t="s">
        <v>42</v>
      </c>
      <c r="B134" s="1">
        <v>80</v>
      </c>
      <c r="C134" s="1">
        <v>8939</v>
      </c>
      <c r="D134" s="2">
        <v>7327.2181964959909</v>
      </c>
    </row>
    <row r="135" spans="1:4" x14ac:dyDescent="0.2">
      <c r="A135" s="1" t="s">
        <v>42</v>
      </c>
      <c r="B135" s="1">
        <v>81</v>
      </c>
      <c r="C135" s="1">
        <v>19151</v>
      </c>
      <c r="D135" s="2">
        <v>6264.9960148302707</v>
      </c>
    </row>
    <row r="136" spans="1:4" x14ac:dyDescent="0.2">
      <c r="A136" s="1" t="s">
        <v>42</v>
      </c>
      <c r="B136" s="1">
        <v>82</v>
      </c>
      <c r="C136" s="1">
        <v>9954</v>
      </c>
      <c r="D136" s="2">
        <v>5734.8401551139596</v>
      </c>
    </row>
    <row r="137" spans="1:4" x14ac:dyDescent="0.2">
      <c r="A137" s="1" t="s">
        <v>42</v>
      </c>
      <c r="B137" s="1">
        <v>83</v>
      </c>
      <c r="C137" s="1">
        <v>27817</v>
      </c>
      <c r="D137" s="2">
        <v>9747.6239987423342</v>
      </c>
    </row>
    <row r="138" spans="1:4" x14ac:dyDescent="0.2">
      <c r="A138" s="1" t="s">
        <v>42</v>
      </c>
      <c r="B138" s="1">
        <v>84</v>
      </c>
      <c r="C138" s="1">
        <v>9052</v>
      </c>
      <c r="D138" s="2">
        <v>17031.818130288117</v>
      </c>
    </row>
    <row r="139" spans="1:4" x14ac:dyDescent="0.2">
      <c r="A139" s="1" t="s">
        <v>42</v>
      </c>
      <c r="B139" s="1">
        <v>85</v>
      </c>
      <c r="C139" s="1">
        <v>59122</v>
      </c>
      <c r="D139" s="2">
        <v>10663.384815064735</v>
      </c>
    </row>
    <row r="140" spans="1:4" x14ac:dyDescent="0.2">
      <c r="A140" s="1" t="s">
        <v>42</v>
      </c>
      <c r="B140" s="1">
        <v>86</v>
      </c>
      <c r="C140" s="1">
        <v>22225</v>
      </c>
      <c r="D140" s="2">
        <v>16021.42267172936</v>
      </c>
    </row>
    <row r="141" spans="1:4" x14ac:dyDescent="0.2">
      <c r="A141" s="1" t="s">
        <v>42</v>
      </c>
      <c r="B141" s="1">
        <v>87</v>
      </c>
      <c r="C141" s="1">
        <v>4741</v>
      </c>
      <c r="D141" s="2">
        <v>8125.7508710892507</v>
      </c>
    </row>
    <row r="142" spans="1:4" x14ac:dyDescent="0.2">
      <c r="A142" s="1" t="s">
        <v>42</v>
      </c>
      <c r="B142" s="1">
        <v>88</v>
      </c>
      <c r="C142" s="1">
        <v>42655</v>
      </c>
      <c r="D142" s="2">
        <v>4247.0374112924901</v>
      </c>
    </row>
    <row r="143" spans="1:4" x14ac:dyDescent="0.2">
      <c r="A143" s="1" t="s">
        <v>42</v>
      </c>
      <c r="B143" s="1">
        <v>90</v>
      </c>
      <c r="C143" s="1">
        <v>1475</v>
      </c>
      <c r="D143" s="2">
        <v>7326.4606261647805</v>
      </c>
    </row>
    <row r="144" spans="1:4" x14ac:dyDescent="0.2">
      <c r="A144" s="1" t="s">
        <v>42</v>
      </c>
      <c r="B144" s="1">
        <v>91</v>
      </c>
      <c r="C144" s="1">
        <v>943</v>
      </c>
      <c r="D144" s="2">
        <v>10579.31348307342</v>
      </c>
    </row>
    <row r="145" spans="1:4" x14ac:dyDescent="0.2">
      <c r="A145" s="1" t="s">
        <v>42</v>
      </c>
      <c r="B145" s="1">
        <v>92</v>
      </c>
      <c r="C145" s="1">
        <v>81</v>
      </c>
      <c r="D145" s="2">
        <v>12053.289583221993</v>
      </c>
    </row>
    <row r="146" spans="1:4" x14ac:dyDescent="0.2">
      <c r="A146" s="1" t="s">
        <v>42</v>
      </c>
      <c r="B146" s="1">
        <v>93</v>
      </c>
      <c r="C146" s="1">
        <v>5682</v>
      </c>
      <c r="D146" s="2">
        <v>6277.1236210663383</v>
      </c>
    </row>
    <row r="147" spans="1:4" x14ac:dyDescent="0.2">
      <c r="A147" s="1" t="s">
        <v>42</v>
      </c>
      <c r="B147" s="1">
        <v>94</v>
      </c>
      <c r="C147" s="1">
        <v>20386</v>
      </c>
      <c r="D147" s="2">
        <v>5998.4646189438836</v>
      </c>
    </row>
    <row r="148" spans="1:4" x14ac:dyDescent="0.2">
      <c r="A148" s="1" t="s">
        <v>42</v>
      </c>
      <c r="B148" s="1">
        <v>95</v>
      </c>
      <c r="C148" s="1">
        <v>775</v>
      </c>
      <c r="D148" s="2">
        <v>8813.8618556998626</v>
      </c>
    </row>
    <row r="149" spans="1:4" x14ac:dyDescent="0.2">
      <c r="A149" s="1" t="s">
        <v>42</v>
      </c>
      <c r="B149" s="1">
        <v>96</v>
      </c>
      <c r="C149" s="1">
        <v>2569</v>
      </c>
      <c r="D149" s="2">
        <v>6485.6972890221505</v>
      </c>
    </row>
    <row r="150" spans="1:4" x14ac:dyDescent="0.2">
      <c r="A150" s="1" t="s">
        <v>42</v>
      </c>
      <c r="B150" s="1">
        <v>99</v>
      </c>
      <c r="C150" s="1">
        <v>46</v>
      </c>
      <c r="D150" s="2">
        <v>17448.40231115503</v>
      </c>
    </row>
    <row r="151" spans="1:4" x14ac:dyDescent="0.2">
      <c r="A151" s="1" t="s">
        <v>43</v>
      </c>
      <c r="B151" s="1">
        <v>1</v>
      </c>
      <c r="C151" s="1">
        <v>5560</v>
      </c>
      <c r="D151" s="2">
        <v>7882.6069114124348</v>
      </c>
    </row>
    <row r="152" spans="1:4" x14ac:dyDescent="0.2">
      <c r="A152" s="1" t="s">
        <v>43</v>
      </c>
      <c r="B152" s="1">
        <v>2</v>
      </c>
      <c r="C152" s="1">
        <v>152</v>
      </c>
      <c r="D152" s="2">
        <v>19965.807158521307</v>
      </c>
    </row>
    <row r="153" spans="1:4" x14ac:dyDescent="0.2">
      <c r="A153" s="1" t="s">
        <v>43</v>
      </c>
      <c r="B153" s="1">
        <v>3</v>
      </c>
      <c r="C153" s="1">
        <v>103</v>
      </c>
      <c r="D153" s="2">
        <v>9622.7892324773384</v>
      </c>
    </row>
    <row r="154" spans="1:4" x14ac:dyDescent="0.2">
      <c r="A154" s="1" t="s">
        <v>43</v>
      </c>
      <c r="B154" s="1">
        <v>4</v>
      </c>
      <c r="C154" s="1">
        <v>523</v>
      </c>
      <c r="D154" s="2">
        <v>11425.958936745219</v>
      </c>
    </row>
    <row r="155" spans="1:4" x14ac:dyDescent="0.2">
      <c r="A155" s="1" t="s">
        <v>43</v>
      </c>
      <c r="B155" s="1">
        <v>6</v>
      </c>
      <c r="C155" s="1">
        <v>74</v>
      </c>
      <c r="D155" s="2">
        <v>40471.964451951935</v>
      </c>
    </row>
    <row r="156" spans="1:4" x14ac:dyDescent="0.2">
      <c r="A156" s="1" t="s">
        <v>43</v>
      </c>
      <c r="B156" s="1">
        <v>8</v>
      </c>
      <c r="C156" s="1">
        <v>322</v>
      </c>
      <c r="D156" s="2">
        <v>16301.081116847272</v>
      </c>
    </row>
    <row r="157" spans="1:4" x14ac:dyDescent="0.2">
      <c r="A157" s="1" t="s">
        <v>43</v>
      </c>
      <c r="B157" s="1">
        <v>9</v>
      </c>
      <c r="C157" s="1">
        <v>13</v>
      </c>
      <c r="D157" s="2">
        <v>30157.429487179492</v>
      </c>
    </row>
    <row r="158" spans="1:4" x14ac:dyDescent="0.2">
      <c r="A158" s="1" t="s">
        <v>43</v>
      </c>
      <c r="B158" s="1">
        <v>10</v>
      </c>
      <c r="C158" s="1">
        <v>8355</v>
      </c>
      <c r="D158" s="2">
        <v>9873.1888824985581</v>
      </c>
    </row>
    <row r="159" spans="1:4" x14ac:dyDescent="0.2">
      <c r="A159" s="1" t="s">
        <v>43</v>
      </c>
      <c r="B159" s="1">
        <v>11</v>
      </c>
      <c r="C159" s="1">
        <v>866</v>
      </c>
      <c r="D159" s="2">
        <v>10822.159533682252</v>
      </c>
    </row>
    <row r="160" spans="1:4" x14ac:dyDescent="0.2">
      <c r="A160" s="1" t="s">
        <v>43</v>
      </c>
      <c r="B160" s="1">
        <v>13</v>
      </c>
      <c r="C160" s="1">
        <v>909</v>
      </c>
      <c r="D160" s="2">
        <v>10205.598868418592</v>
      </c>
    </row>
    <row r="161" spans="1:4" x14ac:dyDescent="0.2">
      <c r="A161" s="1" t="s">
        <v>43</v>
      </c>
      <c r="B161" s="1">
        <v>16</v>
      </c>
      <c r="C161" s="1">
        <v>2287</v>
      </c>
      <c r="D161" s="2">
        <v>14670.449510108252</v>
      </c>
    </row>
    <row r="162" spans="1:4" x14ac:dyDescent="0.2">
      <c r="A162" s="1" t="s">
        <v>43</v>
      </c>
      <c r="B162" s="1">
        <v>18</v>
      </c>
      <c r="C162" s="1">
        <v>935</v>
      </c>
      <c r="D162" s="2">
        <v>10119.889189912879</v>
      </c>
    </row>
    <row r="163" spans="1:4" x14ac:dyDescent="0.2">
      <c r="A163" s="1" t="s">
        <v>43</v>
      </c>
      <c r="B163" s="1">
        <v>19</v>
      </c>
      <c r="C163" s="1">
        <v>822</v>
      </c>
      <c r="D163" s="2">
        <v>34237.347507048245</v>
      </c>
    </row>
    <row r="164" spans="1:4" x14ac:dyDescent="0.2">
      <c r="A164" s="1" t="s">
        <v>43</v>
      </c>
      <c r="B164" s="1">
        <v>20</v>
      </c>
      <c r="C164" s="1">
        <v>2683</v>
      </c>
      <c r="D164" s="2">
        <v>17424.148050146323</v>
      </c>
    </row>
    <row r="165" spans="1:4" x14ac:dyDescent="0.2">
      <c r="A165" s="1" t="s">
        <v>43</v>
      </c>
      <c r="B165" s="1">
        <v>21</v>
      </c>
      <c r="C165" s="1">
        <v>2218</v>
      </c>
      <c r="D165" s="2">
        <v>16660.900324642804</v>
      </c>
    </row>
    <row r="166" spans="1:4" x14ac:dyDescent="0.2">
      <c r="A166" s="1" t="s">
        <v>43</v>
      </c>
      <c r="B166" s="1">
        <v>22</v>
      </c>
      <c r="C166" s="1">
        <v>4422</v>
      </c>
      <c r="D166" s="2">
        <v>13127.484387536919</v>
      </c>
    </row>
    <row r="167" spans="1:4" x14ac:dyDescent="0.2">
      <c r="A167" s="1" t="s">
        <v>43</v>
      </c>
      <c r="B167" s="1">
        <v>23</v>
      </c>
      <c r="C167" s="1">
        <v>8489</v>
      </c>
      <c r="D167" s="2">
        <v>13691.085501039675</v>
      </c>
    </row>
    <row r="168" spans="1:4" x14ac:dyDescent="0.2">
      <c r="A168" s="1" t="s">
        <v>43</v>
      </c>
      <c r="B168" s="1">
        <v>26</v>
      </c>
      <c r="C168" s="1">
        <v>10362</v>
      </c>
      <c r="D168" s="2">
        <v>24970.665749312266</v>
      </c>
    </row>
    <row r="169" spans="1:4" x14ac:dyDescent="0.2">
      <c r="A169" s="1" t="s">
        <v>43</v>
      </c>
      <c r="B169" s="1">
        <v>27</v>
      </c>
      <c r="C169" s="1">
        <v>3679</v>
      </c>
      <c r="D169" s="2">
        <v>16589.560932147961</v>
      </c>
    </row>
    <row r="170" spans="1:4" x14ac:dyDescent="0.2">
      <c r="A170" s="1" t="s">
        <v>43</v>
      </c>
      <c r="B170" s="1">
        <v>29</v>
      </c>
      <c r="C170" s="1">
        <v>2043</v>
      </c>
      <c r="D170" s="2">
        <v>16052.193200376605</v>
      </c>
    </row>
    <row r="171" spans="1:4" x14ac:dyDescent="0.2">
      <c r="A171" s="1" t="s">
        <v>43</v>
      </c>
      <c r="B171" s="1">
        <v>31</v>
      </c>
      <c r="C171" s="1">
        <v>1727</v>
      </c>
      <c r="D171" s="2">
        <v>9072.8583990705465</v>
      </c>
    </row>
    <row r="172" spans="1:4" x14ac:dyDescent="0.2">
      <c r="A172" s="1" t="s">
        <v>43</v>
      </c>
      <c r="B172" s="1">
        <v>32</v>
      </c>
      <c r="C172" s="1">
        <v>1857</v>
      </c>
      <c r="D172" s="2">
        <v>16084.530495624742</v>
      </c>
    </row>
    <row r="173" spans="1:4" x14ac:dyDescent="0.2">
      <c r="A173" s="1" t="s">
        <v>43</v>
      </c>
      <c r="B173" s="1">
        <v>33</v>
      </c>
      <c r="C173" s="1">
        <v>783</v>
      </c>
      <c r="D173" s="2">
        <v>12396.063019724712</v>
      </c>
    </row>
    <row r="174" spans="1:4" x14ac:dyDescent="0.2">
      <c r="A174" s="1" t="s">
        <v>43</v>
      </c>
      <c r="B174" s="1">
        <v>34</v>
      </c>
      <c r="C174" s="1">
        <v>29</v>
      </c>
      <c r="D174" s="2">
        <v>13813.172544409614</v>
      </c>
    </row>
    <row r="175" spans="1:4" x14ac:dyDescent="0.2">
      <c r="A175" s="1" t="s">
        <v>43</v>
      </c>
      <c r="B175" s="1">
        <v>35</v>
      </c>
      <c r="C175" s="1">
        <v>3802</v>
      </c>
      <c r="D175" s="2">
        <v>30523.102705618257</v>
      </c>
    </row>
    <row r="176" spans="1:4" x14ac:dyDescent="0.2">
      <c r="A176" s="1" t="s">
        <v>43</v>
      </c>
      <c r="B176" s="1">
        <v>36</v>
      </c>
      <c r="C176" s="1">
        <v>545</v>
      </c>
      <c r="D176" s="2">
        <v>19817.428182744872</v>
      </c>
    </row>
    <row r="177" spans="1:4" x14ac:dyDescent="0.2">
      <c r="A177" s="1" t="s">
        <v>43</v>
      </c>
      <c r="B177" s="1">
        <v>37</v>
      </c>
      <c r="C177" s="1">
        <v>177</v>
      </c>
      <c r="D177" s="2">
        <v>13392.316377454943</v>
      </c>
    </row>
    <row r="178" spans="1:4" x14ac:dyDescent="0.2">
      <c r="A178" s="1" t="s">
        <v>43</v>
      </c>
      <c r="B178" s="1">
        <v>38</v>
      </c>
      <c r="C178" s="1">
        <v>954</v>
      </c>
      <c r="D178" s="2">
        <v>10330.237109073669</v>
      </c>
    </row>
    <row r="179" spans="1:4" x14ac:dyDescent="0.2">
      <c r="A179" s="1" t="s">
        <v>43</v>
      </c>
      <c r="B179" s="1">
        <v>39</v>
      </c>
      <c r="C179" s="1">
        <v>15</v>
      </c>
      <c r="D179" s="2">
        <v>19989.35222222222</v>
      </c>
    </row>
    <row r="180" spans="1:4" x14ac:dyDescent="0.2">
      <c r="A180" s="1" t="s">
        <v>43</v>
      </c>
      <c r="B180" s="1">
        <v>41</v>
      </c>
      <c r="C180" s="1">
        <v>11129</v>
      </c>
      <c r="D180" s="2">
        <v>11073.95182327232</v>
      </c>
    </row>
    <row r="181" spans="1:4" x14ac:dyDescent="0.2">
      <c r="A181" s="1" t="s">
        <v>43</v>
      </c>
      <c r="B181" s="1">
        <v>42</v>
      </c>
      <c r="C181" s="1">
        <v>4032</v>
      </c>
      <c r="D181" s="2">
        <v>13390.351005215844</v>
      </c>
    </row>
    <row r="182" spans="1:4" x14ac:dyDescent="0.2">
      <c r="A182" s="1" t="s">
        <v>43</v>
      </c>
      <c r="B182" s="1">
        <v>43</v>
      </c>
      <c r="C182" s="1">
        <v>15188</v>
      </c>
      <c r="D182" s="2">
        <v>9624.7985500628565</v>
      </c>
    </row>
    <row r="183" spans="1:4" x14ac:dyDescent="0.2">
      <c r="A183" s="1" t="s">
        <v>43</v>
      </c>
      <c r="B183" s="1">
        <v>45</v>
      </c>
      <c r="C183" s="1">
        <v>6016</v>
      </c>
      <c r="D183" s="2">
        <v>11415.688753589531</v>
      </c>
    </row>
    <row r="184" spans="1:4" x14ac:dyDescent="0.2">
      <c r="A184" s="1" t="s">
        <v>43</v>
      </c>
      <c r="B184" s="1">
        <v>46</v>
      </c>
      <c r="C184" s="1">
        <v>22754</v>
      </c>
      <c r="D184" s="2">
        <v>12859.952115764225</v>
      </c>
    </row>
    <row r="185" spans="1:4" x14ac:dyDescent="0.2">
      <c r="A185" s="1" t="s">
        <v>43</v>
      </c>
      <c r="B185" s="1">
        <v>47</v>
      </c>
      <c r="C185" s="1">
        <v>40064</v>
      </c>
      <c r="D185" s="2">
        <v>7063.2049808635793</v>
      </c>
    </row>
    <row r="186" spans="1:4" x14ac:dyDescent="0.2">
      <c r="A186" s="1" t="s">
        <v>43</v>
      </c>
      <c r="B186" s="1">
        <v>49</v>
      </c>
      <c r="C186" s="1">
        <v>12004</v>
      </c>
      <c r="D186" s="2">
        <v>11498.253477496408</v>
      </c>
    </row>
    <row r="187" spans="1:4" x14ac:dyDescent="0.2">
      <c r="A187" s="1" t="s">
        <v>43</v>
      </c>
      <c r="B187" s="1">
        <v>50</v>
      </c>
      <c r="C187" s="1">
        <v>803</v>
      </c>
      <c r="D187" s="2">
        <v>36674.740613661954</v>
      </c>
    </row>
    <row r="188" spans="1:4" x14ac:dyDescent="0.2">
      <c r="A188" s="1" t="s">
        <v>43</v>
      </c>
      <c r="B188" s="1">
        <v>51</v>
      </c>
      <c r="C188" s="1">
        <v>287</v>
      </c>
      <c r="D188" s="2">
        <v>23170.379968047826</v>
      </c>
    </row>
    <row r="189" spans="1:4" x14ac:dyDescent="0.2">
      <c r="A189" s="1" t="s">
        <v>43</v>
      </c>
      <c r="B189" s="1">
        <v>52</v>
      </c>
      <c r="C189" s="1">
        <v>6555</v>
      </c>
      <c r="D189" s="2">
        <v>14794.953365671501</v>
      </c>
    </row>
    <row r="190" spans="1:4" x14ac:dyDescent="0.2">
      <c r="A190" s="1" t="s">
        <v>43</v>
      </c>
      <c r="B190" s="1">
        <v>55</v>
      </c>
      <c r="C190" s="1">
        <v>3214</v>
      </c>
      <c r="D190" s="2">
        <v>7551.3758694375447</v>
      </c>
    </row>
    <row r="191" spans="1:4" x14ac:dyDescent="0.2">
      <c r="A191" s="1" t="s">
        <v>43</v>
      </c>
      <c r="B191" s="1">
        <v>56</v>
      </c>
      <c r="C191" s="1">
        <v>30654</v>
      </c>
      <c r="D191" s="2">
        <v>4848.7268406318062</v>
      </c>
    </row>
    <row r="192" spans="1:4" x14ac:dyDescent="0.2">
      <c r="A192" s="1" t="s">
        <v>43</v>
      </c>
      <c r="B192" s="1">
        <v>58</v>
      </c>
      <c r="C192" s="1">
        <v>336</v>
      </c>
      <c r="D192" s="2">
        <v>11352.146397864701</v>
      </c>
    </row>
    <row r="193" spans="1:4" x14ac:dyDescent="0.2">
      <c r="A193" s="1" t="s">
        <v>43</v>
      </c>
      <c r="B193" s="1">
        <v>59</v>
      </c>
      <c r="C193" s="1">
        <v>811</v>
      </c>
      <c r="D193" s="2">
        <v>7291.0395223594041</v>
      </c>
    </row>
    <row r="194" spans="1:4" x14ac:dyDescent="0.2">
      <c r="A194" s="1" t="s">
        <v>43</v>
      </c>
      <c r="B194" s="1">
        <v>60</v>
      </c>
      <c r="C194" s="1">
        <v>236</v>
      </c>
      <c r="D194" s="2">
        <v>13465.488581486783</v>
      </c>
    </row>
    <row r="195" spans="1:4" x14ac:dyDescent="0.2">
      <c r="A195" s="1" t="s">
        <v>43</v>
      </c>
      <c r="B195" s="1">
        <v>61</v>
      </c>
      <c r="C195" s="1">
        <v>3325</v>
      </c>
      <c r="D195" s="2">
        <v>13962.435642396022</v>
      </c>
    </row>
    <row r="196" spans="1:4" x14ac:dyDescent="0.2">
      <c r="A196" s="1" t="s">
        <v>43</v>
      </c>
      <c r="B196" s="1">
        <v>62</v>
      </c>
      <c r="C196" s="1">
        <v>18010</v>
      </c>
      <c r="D196" s="2">
        <v>27600.222516124591</v>
      </c>
    </row>
    <row r="197" spans="1:4" x14ac:dyDescent="0.2">
      <c r="A197" s="1" t="s">
        <v>43</v>
      </c>
      <c r="B197" s="1">
        <v>63</v>
      </c>
      <c r="C197" s="1">
        <v>512</v>
      </c>
      <c r="D197" s="2">
        <v>18363.614187423915</v>
      </c>
    </row>
    <row r="198" spans="1:4" x14ac:dyDescent="0.2">
      <c r="A198" s="1" t="s">
        <v>43</v>
      </c>
      <c r="B198" s="1">
        <v>64</v>
      </c>
      <c r="C198" s="1">
        <v>10525</v>
      </c>
      <c r="D198" s="2">
        <v>17743.833676267215</v>
      </c>
    </row>
    <row r="199" spans="1:4" x14ac:dyDescent="0.2">
      <c r="A199" s="1" t="s">
        <v>43</v>
      </c>
      <c r="B199" s="1">
        <v>68</v>
      </c>
      <c r="C199" s="1">
        <v>3763</v>
      </c>
      <c r="D199" s="2">
        <v>12534.490945501482</v>
      </c>
    </row>
    <row r="200" spans="1:4" x14ac:dyDescent="0.2">
      <c r="A200" s="1" t="s">
        <v>43</v>
      </c>
      <c r="B200" s="1">
        <v>69</v>
      </c>
      <c r="C200" s="1">
        <v>8156</v>
      </c>
      <c r="D200" s="2">
        <v>10734.937913367883</v>
      </c>
    </row>
    <row r="201" spans="1:4" x14ac:dyDescent="0.2">
      <c r="A201" s="1" t="s">
        <v>43</v>
      </c>
      <c r="B201" s="1">
        <v>70</v>
      </c>
      <c r="C201" s="1">
        <v>4610</v>
      </c>
      <c r="D201" s="2">
        <v>14516.024440923018</v>
      </c>
    </row>
    <row r="202" spans="1:4" x14ac:dyDescent="0.2">
      <c r="A202" s="1" t="s">
        <v>43</v>
      </c>
      <c r="B202" s="1">
        <v>71</v>
      </c>
      <c r="C202" s="1">
        <v>8786</v>
      </c>
      <c r="D202" s="2">
        <v>14202.720040873272</v>
      </c>
    </row>
    <row r="203" spans="1:4" x14ac:dyDescent="0.2">
      <c r="A203" s="1" t="s">
        <v>43</v>
      </c>
      <c r="B203" s="1">
        <v>72</v>
      </c>
      <c r="C203" s="1">
        <v>7407</v>
      </c>
      <c r="D203" s="2">
        <v>29918.996536655264</v>
      </c>
    </row>
    <row r="204" spans="1:4" x14ac:dyDescent="0.2">
      <c r="A204" s="1" t="s">
        <v>43</v>
      </c>
      <c r="B204" s="1">
        <v>73</v>
      </c>
      <c r="C204" s="1">
        <v>2703</v>
      </c>
      <c r="D204" s="2">
        <v>9985.9020971567388</v>
      </c>
    </row>
    <row r="205" spans="1:4" x14ac:dyDescent="0.2">
      <c r="A205" s="1" t="s">
        <v>43</v>
      </c>
      <c r="B205" s="1">
        <v>74</v>
      </c>
      <c r="C205" s="1">
        <v>1769</v>
      </c>
      <c r="D205" s="2">
        <v>10695.876569743295</v>
      </c>
    </row>
    <row r="206" spans="1:4" x14ac:dyDescent="0.2">
      <c r="A206" s="1" t="s">
        <v>43</v>
      </c>
      <c r="B206" s="1">
        <v>75</v>
      </c>
      <c r="C206" s="1">
        <v>402</v>
      </c>
      <c r="D206" s="2">
        <v>9936.975890209842</v>
      </c>
    </row>
    <row r="207" spans="1:4" x14ac:dyDescent="0.2">
      <c r="A207" s="1" t="s">
        <v>43</v>
      </c>
      <c r="B207" s="1">
        <v>77</v>
      </c>
      <c r="C207" s="1">
        <v>1657</v>
      </c>
      <c r="D207" s="2">
        <v>10891.130261947868</v>
      </c>
    </row>
    <row r="208" spans="1:4" x14ac:dyDescent="0.2">
      <c r="A208" s="1" t="s">
        <v>43</v>
      </c>
      <c r="B208" s="1">
        <v>78</v>
      </c>
      <c r="C208" s="1">
        <v>9556</v>
      </c>
      <c r="D208" s="2">
        <v>5931.0897828257193</v>
      </c>
    </row>
    <row r="209" spans="1:4" x14ac:dyDescent="0.2">
      <c r="A209" s="1" t="s">
        <v>43</v>
      </c>
      <c r="B209" s="1">
        <v>79</v>
      </c>
      <c r="C209" s="1">
        <v>1474</v>
      </c>
      <c r="D209" s="2">
        <v>9951.3931639519888</v>
      </c>
    </row>
    <row r="210" spans="1:4" x14ac:dyDescent="0.2">
      <c r="A210" s="1" t="s">
        <v>43</v>
      </c>
      <c r="B210" s="1">
        <v>80</v>
      </c>
      <c r="C210" s="1">
        <v>4431</v>
      </c>
      <c r="D210" s="2">
        <v>7564.9199321291007</v>
      </c>
    </row>
    <row r="211" spans="1:4" x14ac:dyDescent="0.2">
      <c r="A211" s="1" t="s">
        <v>43</v>
      </c>
      <c r="B211" s="1">
        <v>81</v>
      </c>
      <c r="C211" s="1">
        <v>14202</v>
      </c>
      <c r="D211" s="2">
        <v>6011.111070519707</v>
      </c>
    </row>
    <row r="212" spans="1:4" x14ac:dyDescent="0.2">
      <c r="A212" s="1" t="s">
        <v>43</v>
      </c>
      <c r="B212" s="1">
        <v>82</v>
      </c>
      <c r="C212" s="1">
        <v>6339</v>
      </c>
      <c r="D212" s="2">
        <v>6686.8328080400661</v>
      </c>
    </row>
    <row r="213" spans="1:4" x14ac:dyDescent="0.2">
      <c r="A213" s="1" t="s">
        <v>43</v>
      </c>
      <c r="B213" s="1">
        <v>83</v>
      </c>
      <c r="C213" s="1">
        <v>24997</v>
      </c>
      <c r="D213" s="2">
        <v>10409.255677669771</v>
      </c>
    </row>
    <row r="214" spans="1:4" x14ac:dyDescent="0.2">
      <c r="A214" s="1" t="s">
        <v>43</v>
      </c>
      <c r="B214" s="1">
        <v>84</v>
      </c>
      <c r="C214" s="1">
        <v>11969</v>
      </c>
      <c r="D214" s="2">
        <v>18100.718797339247</v>
      </c>
    </row>
    <row r="215" spans="1:4" x14ac:dyDescent="0.2">
      <c r="A215" s="1" t="s">
        <v>43</v>
      </c>
      <c r="B215" s="1">
        <v>85</v>
      </c>
      <c r="C215" s="1">
        <v>47055</v>
      </c>
      <c r="D215" s="2">
        <v>11241.57430604143</v>
      </c>
    </row>
    <row r="216" spans="1:4" x14ac:dyDescent="0.2">
      <c r="A216" s="1" t="s">
        <v>43</v>
      </c>
      <c r="B216" s="1">
        <v>86</v>
      </c>
      <c r="C216" s="1">
        <v>20518</v>
      </c>
      <c r="D216" s="2">
        <v>14558.231825181172</v>
      </c>
    </row>
    <row r="217" spans="1:4" x14ac:dyDescent="0.2">
      <c r="A217" s="1" t="s">
        <v>43</v>
      </c>
      <c r="B217" s="1">
        <v>87</v>
      </c>
      <c r="C217" s="1">
        <v>7221</v>
      </c>
      <c r="D217" s="2">
        <v>8478.6276019138677</v>
      </c>
    </row>
    <row r="218" spans="1:4" x14ac:dyDescent="0.2">
      <c r="A218" s="1" t="s">
        <v>43</v>
      </c>
      <c r="B218" s="1">
        <v>88</v>
      </c>
      <c r="C218" s="1">
        <v>34540</v>
      </c>
      <c r="D218" s="2">
        <v>4001.5886986594119</v>
      </c>
    </row>
    <row r="219" spans="1:4" x14ac:dyDescent="0.2">
      <c r="A219" s="1" t="s">
        <v>43</v>
      </c>
      <c r="B219" s="1">
        <v>90</v>
      </c>
      <c r="C219" s="1">
        <v>1347</v>
      </c>
      <c r="D219" s="2">
        <v>6787.0707075260016</v>
      </c>
    </row>
    <row r="220" spans="1:4" x14ac:dyDescent="0.2">
      <c r="A220" s="1" t="s">
        <v>43</v>
      </c>
      <c r="B220" s="1">
        <v>91</v>
      </c>
      <c r="C220" s="1">
        <v>804</v>
      </c>
      <c r="D220" s="2">
        <v>9314.3797730323804</v>
      </c>
    </row>
    <row r="221" spans="1:4" x14ac:dyDescent="0.2">
      <c r="A221" s="1" t="s">
        <v>43</v>
      </c>
      <c r="B221" s="1">
        <v>92</v>
      </c>
      <c r="C221" s="1">
        <v>122</v>
      </c>
      <c r="D221" s="2">
        <v>12571.054880774962</v>
      </c>
    </row>
    <row r="222" spans="1:4" x14ac:dyDescent="0.2">
      <c r="A222" s="1" t="s">
        <v>43</v>
      </c>
      <c r="B222" s="1">
        <v>93</v>
      </c>
      <c r="C222" s="1">
        <v>5337</v>
      </c>
      <c r="D222" s="2">
        <v>5344.8644681443266</v>
      </c>
    </row>
    <row r="223" spans="1:4" x14ac:dyDescent="0.2">
      <c r="A223" s="1" t="s">
        <v>43</v>
      </c>
      <c r="B223" s="1">
        <v>94</v>
      </c>
      <c r="C223" s="1">
        <v>9478</v>
      </c>
      <c r="D223" s="2">
        <v>6495.1154018023626</v>
      </c>
    </row>
    <row r="224" spans="1:4" x14ac:dyDescent="0.2">
      <c r="A224" s="1" t="s">
        <v>43</v>
      </c>
      <c r="B224" s="1">
        <v>95</v>
      </c>
      <c r="C224" s="1">
        <v>943</v>
      </c>
      <c r="D224" s="2">
        <v>7981.9547658833435</v>
      </c>
    </row>
    <row r="225" spans="1:4" x14ac:dyDescent="0.2">
      <c r="A225" s="1" t="s">
        <v>43</v>
      </c>
      <c r="B225" s="1">
        <v>96</v>
      </c>
      <c r="C225" s="1">
        <v>2044</v>
      </c>
      <c r="D225" s="2">
        <v>6746.9520883104369</v>
      </c>
    </row>
    <row r="226" spans="1:4" x14ac:dyDescent="0.2">
      <c r="A226" s="1" t="s">
        <v>43</v>
      </c>
      <c r="B226" s="1">
        <v>99</v>
      </c>
      <c r="C226" s="1">
        <v>64</v>
      </c>
      <c r="D226" s="2">
        <v>16382.31220012626</v>
      </c>
    </row>
    <row r="227" spans="1:4" x14ac:dyDescent="0.2">
      <c r="A227" s="1" t="s">
        <v>44</v>
      </c>
      <c r="B227" s="1">
        <v>1</v>
      </c>
      <c r="C227" s="1">
        <v>1490</v>
      </c>
      <c r="D227" s="2">
        <v>6569.4398856978187</v>
      </c>
    </row>
    <row r="228" spans="1:4" x14ac:dyDescent="0.2">
      <c r="A228" s="1" t="s">
        <v>44</v>
      </c>
      <c r="B228" s="1">
        <v>2</v>
      </c>
      <c r="C228" s="1">
        <v>291</v>
      </c>
      <c r="D228" s="2">
        <v>26522.27678056958</v>
      </c>
    </row>
    <row r="229" spans="1:4" x14ac:dyDescent="0.2">
      <c r="A229" s="1" t="s">
        <v>44</v>
      </c>
      <c r="B229" s="1">
        <v>4</v>
      </c>
      <c r="C229" s="1">
        <v>191</v>
      </c>
      <c r="D229" s="2">
        <v>7448.5994569857139</v>
      </c>
    </row>
    <row r="230" spans="1:4" x14ac:dyDescent="0.2">
      <c r="A230" s="1" t="s">
        <v>44</v>
      </c>
      <c r="B230" s="1">
        <v>8</v>
      </c>
      <c r="C230" s="1">
        <v>183</v>
      </c>
      <c r="D230" s="2">
        <v>15213.946791490232</v>
      </c>
    </row>
    <row r="231" spans="1:4" x14ac:dyDescent="0.2">
      <c r="A231" s="1" t="s">
        <v>44</v>
      </c>
      <c r="B231" s="1">
        <v>10</v>
      </c>
      <c r="C231" s="1">
        <v>6130</v>
      </c>
      <c r="D231" s="2">
        <v>8635.0139264704721</v>
      </c>
    </row>
    <row r="232" spans="1:4" x14ac:dyDescent="0.2">
      <c r="A232" s="1" t="s">
        <v>44</v>
      </c>
      <c r="B232" s="1">
        <v>11</v>
      </c>
      <c r="C232" s="1">
        <v>666</v>
      </c>
      <c r="D232" s="2">
        <v>7906.373398885904</v>
      </c>
    </row>
    <row r="233" spans="1:4" x14ac:dyDescent="0.2">
      <c r="A233" s="1" t="s">
        <v>44</v>
      </c>
      <c r="B233" s="1">
        <v>13</v>
      </c>
      <c r="C233" s="1">
        <v>402</v>
      </c>
      <c r="D233" s="2">
        <v>7174.246739426967</v>
      </c>
    </row>
    <row r="234" spans="1:4" x14ac:dyDescent="0.2">
      <c r="A234" s="1" t="s">
        <v>44</v>
      </c>
      <c r="B234" s="1">
        <v>16</v>
      </c>
      <c r="C234" s="1">
        <v>195</v>
      </c>
      <c r="D234" s="2">
        <v>10340.191712176711</v>
      </c>
    </row>
    <row r="235" spans="1:4" x14ac:dyDescent="0.2">
      <c r="A235" s="1" t="s">
        <v>44</v>
      </c>
      <c r="B235" s="1">
        <v>18</v>
      </c>
      <c r="C235" s="1">
        <v>947</v>
      </c>
      <c r="D235" s="2">
        <v>8753.1024029707187</v>
      </c>
    </row>
    <row r="236" spans="1:4" x14ac:dyDescent="0.2">
      <c r="A236" s="1" t="s">
        <v>44</v>
      </c>
      <c r="B236" s="1">
        <v>20</v>
      </c>
      <c r="C236" s="1">
        <v>473</v>
      </c>
      <c r="D236" s="2">
        <v>13318.456191711741</v>
      </c>
    </row>
    <row r="237" spans="1:4" x14ac:dyDescent="0.2">
      <c r="A237" s="1" t="s">
        <v>44</v>
      </c>
      <c r="B237" s="1">
        <v>21</v>
      </c>
      <c r="C237" s="1">
        <v>631</v>
      </c>
      <c r="D237" s="2">
        <v>16306.040819846643</v>
      </c>
    </row>
    <row r="238" spans="1:4" x14ac:dyDescent="0.2">
      <c r="A238" s="1" t="s">
        <v>44</v>
      </c>
      <c r="B238" s="1">
        <v>22</v>
      </c>
      <c r="C238" s="1">
        <v>312</v>
      </c>
      <c r="D238" s="2">
        <v>12975.569900932411</v>
      </c>
    </row>
    <row r="239" spans="1:4" x14ac:dyDescent="0.2">
      <c r="A239" s="1" t="s">
        <v>44</v>
      </c>
      <c r="B239" s="1">
        <v>23</v>
      </c>
      <c r="C239" s="1">
        <v>1917</v>
      </c>
      <c r="D239" s="2">
        <v>11842.899991399949</v>
      </c>
    </row>
    <row r="240" spans="1:4" x14ac:dyDescent="0.2">
      <c r="A240" s="1" t="s">
        <v>44</v>
      </c>
      <c r="B240" s="1">
        <v>26</v>
      </c>
      <c r="C240" s="1">
        <v>3303</v>
      </c>
      <c r="D240" s="2">
        <v>24708.328627490606</v>
      </c>
    </row>
    <row r="241" spans="1:4" x14ac:dyDescent="0.2">
      <c r="A241" s="1" t="s">
        <v>44</v>
      </c>
      <c r="B241" s="1">
        <v>27</v>
      </c>
      <c r="C241" s="1">
        <v>914</v>
      </c>
      <c r="D241" s="2">
        <v>17194.231448235081</v>
      </c>
    </row>
    <row r="242" spans="1:4" x14ac:dyDescent="0.2">
      <c r="A242" s="1" t="s">
        <v>44</v>
      </c>
      <c r="B242" s="1">
        <v>29</v>
      </c>
      <c r="C242" s="1">
        <v>526</v>
      </c>
      <c r="D242" s="2">
        <v>25135.499359222322</v>
      </c>
    </row>
    <row r="243" spans="1:4" x14ac:dyDescent="0.2">
      <c r="A243" s="1" t="s">
        <v>44</v>
      </c>
      <c r="B243" s="1">
        <v>31</v>
      </c>
      <c r="C243" s="1">
        <v>899</v>
      </c>
      <c r="D243" s="2">
        <v>9059.6901286020857</v>
      </c>
    </row>
    <row r="244" spans="1:4" x14ac:dyDescent="0.2">
      <c r="A244" s="1" t="s">
        <v>44</v>
      </c>
      <c r="B244" s="1">
        <v>32</v>
      </c>
      <c r="C244" s="1">
        <v>819</v>
      </c>
      <c r="D244" s="2">
        <v>11717.341210465018</v>
      </c>
    </row>
    <row r="245" spans="1:4" x14ac:dyDescent="0.2">
      <c r="A245" s="1" t="s">
        <v>44</v>
      </c>
      <c r="B245" s="1">
        <v>33</v>
      </c>
      <c r="C245" s="1">
        <v>140</v>
      </c>
      <c r="D245" s="2">
        <v>17524.519040919397</v>
      </c>
    </row>
    <row r="246" spans="1:4" x14ac:dyDescent="0.2">
      <c r="A246" s="1" t="s">
        <v>44</v>
      </c>
      <c r="B246" s="1">
        <v>34</v>
      </c>
      <c r="C246" s="1">
        <v>49</v>
      </c>
      <c r="D246" s="2">
        <v>12304.939652354455</v>
      </c>
    </row>
    <row r="247" spans="1:4" x14ac:dyDescent="0.2">
      <c r="A247" s="1" t="s">
        <v>44</v>
      </c>
      <c r="B247" s="1">
        <v>35</v>
      </c>
      <c r="C247" s="1">
        <v>987</v>
      </c>
      <c r="D247" s="2">
        <v>22878.199597692073</v>
      </c>
    </row>
    <row r="248" spans="1:4" x14ac:dyDescent="0.2">
      <c r="A248" s="1" t="s">
        <v>44</v>
      </c>
      <c r="B248" s="1">
        <v>36</v>
      </c>
      <c r="C248" s="1">
        <v>335</v>
      </c>
      <c r="D248" s="2">
        <v>16979.765025844816</v>
      </c>
    </row>
    <row r="249" spans="1:4" x14ac:dyDescent="0.2">
      <c r="A249" s="1" t="s">
        <v>44</v>
      </c>
      <c r="B249" s="1">
        <v>37</v>
      </c>
      <c r="C249" s="1">
        <v>80</v>
      </c>
      <c r="D249" s="2">
        <v>14884.967728625541</v>
      </c>
    </row>
    <row r="250" spans="1:4" x14ac:dyDescent="0.2">
      <c r="A250" s="1" t="s">
        <v>44</v>
      </c>
      <c r="B250" s="1">
        <v>38</v>
      </c>
      <c r="C250" s="1">
        <v>1167</v>
      </c>
      <c r="D250" s="2">
        <v>7952.6746317378684</v>
      </c>
    </row>
    <row r="251" spans="1:4" x14ac:dyDescent="0.2">
      <c r="A251" s="1" t="s">
        <v>44</v>
      </c>
      <c r="B251" s="1">
        <v>41</v>
      </c>
      <c r="C251" s="1">
        <v>9839</v>
      </c>
      <c r="D251" s="2">
        <v>9679.5850282440333</v>
      </c>
    </row>
    <row r="252" spans="1:4" x14ac:dyDescent="0.2">
      <c r="A252" s="1" t="s">
        <v>44</v>
      </c>
      <c r="B252" s="1">
        <v>42</v>
      </c>
      <c r="C252" s="1">
        <v>3887</v>
      </c>
      <c r="D252" s="2">
        <v>11406.662434295555</v>
      </c>
    </row>
    <row r="253" spans="1:4" x14ac:dyDescent="0.2">
      <c r="A253" s="1" t="s">
        <v>44</v>
      </c>
      <c r="B253" s="1">
        <v>43</v>
      </c>
      <c r="C253" s="1">
        <v>13850</v>
      </c>
      <c r="D253" s="2">
        <v>7675.0892892410575</v>
      </c>
    </row>
    <row r="254" spans="1:4" x14ac:dyDescent="0.2">
      <c r="A254" s="1" t="s">
        <v>44</v>
      </c>
      <c r="B254" s="1">
        <v>45</v>
      </c>
      <c r="C254" s="1">
        <v>4747</v>
      </c>
      <c r="D254" s="2">
        <v>9804.0717283506583</v>
      </c>
    </row>
    <row r="255" spans="1:4" x14ac:dyDescent="0.2">
      <c r="A255" s="1" t="s">
        <v>44</v>
      </c>
      <c r="B255" s="1">
        <v>46</v>
      </c>
      <c r="C255" s="1">
        <v>13710</v>
      </c>
      <c r="D255" s="2">
        <v>9620.4675091595545</v>
      </c>
    </row>
    <row r="256" spans="1:4" x14ac:dyDescent="0.2">
      <c r="A256" s="1" t="s">
        <v>44</v>
      </c>
      <c r="B256" s="1">
        <v>47</v>
      </c>
      <c r="C256" s="1">
        <v>34037</v>
      </c>
      <c r="D256" s="2">
        <v>6612.0627505225857</v>
      </c>
    </row>
    <row r="257" spans="1:4" x14ac:dyDescent="0.2">
      <c r="A257" s="1" t="s">
        <v>44</v>
      </c>
      <c r="B257" s="1">
        <v>49</v>
      </c>
      <c r="C257" s="1">
        <v>14918</v>
      </c>
      <c r="D257" s="2">
        <v>9532.4249130044591</v>
      </c>
    </row>
    <row r="258" spans="1:4" x14ac:dyDescent="0.2">
      <c r="A258" s="1" t="s">
        <v>44</v>
      </c>
      <c r="B258" s="1">
        <v>51</v>
      </c>
      <c r="C258" s="1">
        <v>188</v>
      </c>
      <c r="D258" s="2">
        <v>17859.678983413163</v>
      </c>
    </row>
    <row r="259" spans="1:4" x14ac:dyDescent="0.2">
      <c r="A259" s="1" t="s">
        <v>44</v>
      </c>
      <c r="B259" s="1">
        <v>52</v>
      </c>
      <c r="C259" s="1">
        <v>2911</v>
      </c>
      <c r="D259" s="2">
        <v>10264.472605502437</v>
      </c>
    </row>
    <row r="260" spans="1:4" x14ac:dyDescent="0.2">
      <c r="A260" s="1" t="s">
        <v>44</v>
      </c>
      <c r="B260" s="1">
        <v>55</v>
      </c>
      <c r="C260" s="1">
        <v>7706</v>
      </c>
      <c r="D260" s="2">
        <v>7597.3222943535557</v>
      </c>
    </row>
    <row r="261" spans="1:4" x14ac:dyDescent="0.2">
      <c r="A261" s="1" t="s">
        <v>44</v>
      </c>
      <c r="B261" s="1">
        <v>56</v>
      </c>
      <c r="C261" s="1">
        <v>22865</v>
      </c>
      <c r="D261" s="2">
        <v>5270.8011546125681</v>
      </c>
    </row>
    <row r="262" spans="1:4" x14ac:dyDescent="0.2">
      <c r="A262" s="1" t="s">
        <v>44</v>
      </c>
      <c r="B262" s="1">
        <v>58</v>
      </c>
      <c r="C262" s="1">
        <v>1143</v>
      </c>
      <c r="D262" s="2">
        <v>8616.7167596158961</v>
      </c>
    </row>
    <row r="263" spans="1:4" x14ac:dyDescent="0.2">
      <c r="A263" s="1" t="s">
        <v>44</v>
      </c>
      <c r="B263" s="1">
        <v>59</v>
      </c>
      <c r="C263" s="1">
        <v>521</v>
      </c>
      <c r="D263" s="2">
        <v>7242.6392780284359</v>
      </c>
    </row>
    <row r="264" spans="1:4" x14ac:dyDescent="0.2">
      <c r="A264" s="1" t="s">
        <v>44</v>
      </c>
      <c r="B264" s="1">
        <v>60</v>
      </c>
      <c r="C264" s="1">
        <v>610</v>
      </c>
      <c r="D264" s="2">
        <v>14983.302621235769</v>
      </c>
    </row>
    <row r="265" spans="1:4" x14ac:dyDescent="0.2">
      <c r="A265" s="1" t="s">
        <v>44</v>
      </c>
      <c r="B265" s="1">
        <v>61</v>
      </c>
      <c r="C265" s="1">
        <v>1138</v>
      </c>
      <c r="D265" s="2">
        <v>18686.980088387012</v>
      </c>
    </row>
    <row r="266" spans="1:4" x14ac:dyDescent="0.2">
      <c r="A266" s="1" t="s">
        <v>44</v>
      </c>
      <c r="B266" s="1">
        <v>62</v>
      </c>
      <c r="C266" s="1">
        <v>13453</v>
      </c>
      <c r="D266" s="2">
        <v>21651.849408434326</v>
      </c>
    </row>
    <row r="267" spans="1:4" x14ac:dyDescent="0.2">
      <c r="A267" s="1" t="s">
        <v>44</v>
      </c>
      <c r="B267" s="1">
        <v>63</v>
      </c>
      <c r="C267" s="1">
        <v>433</v>
      </c>
      <c r="D267" s="2">
        <v>19550.948400034667</v>
      </c>
    </row>
    <row r="268" spans="1:4" x14ac:dyDescent="0.2">
      <c r="A268" s="1" t="s">
        <v>44</v>
      </c>
      <c r="B268" s="1">
        <v>64</v>
      </c>
      <c r="C268" s="1">
        <v>6730</v>
      </c>
      <c r="D268" s="2">
        <v>19067.109164340309</v>
      </c>
    </row>
    <row r="269" spans="1:4" x14ac:dyDescent="0.2">
      <c r="A269" s="1" t="s">
        <v>44</v>
      </c>
      <c r="B269" s="1">
        <v>68</v>
      </c>
      <c r="C269" s="1">
        <v>3585</v>
      </c>
      <c r="D269" s="2">
        <v>11589.133630688222</v>
      </c>
    </row>
    <row r="270" spans="1:4" x14ac:dyDescent="0.2">
      <c r="A270" s="1" t="s">
        <v>44</v>
      </c>
      <c r="B270" s="1">
        <v>69</v>
      </c>
      <c r="C270" s="1">
        <v>6939</v>
      </c>
      <c r="D270" s="2">
        <v>11053.387821672959</v>
      </c>
    </row>
    <row r="271" spans="1:4" x14ac:dyDescent="0.2">
      <c r="A271" s="1" t="s">
        <v>44</v>
      </c>
      <c r="B271" s="1">
        <v>70</v>
      </c>
      <c r="C271" s="1">
        <v>3402</v>
      </c>
      <c r="D271" s="2">
        <v>14571.739195091941</v>
      </c>
    </row>
    <row r="272" spans="1:4" x14ac:dyDescent="0.2">
      <c r="A272" s="1" t="s">
        <v>44</v>
      </c>
      <c r="B272" s="1">
        <v>71</v>
      </c>
      <c r="C272" s="1">
        <v>5058</v>
      </c>
      <c r="D272" s="2">
        <v>11942.121109887199</v>
      </c>
    </row>
    <row r="273" spans="1:4" x14ac:dyDescent="0.2">
      <c r="A273" s="1" t="s">
        <v>44</v>
      </c>
      <c r="B273" s="1">
        <v>72</v>
      </c>
      <c r="C273" s="1">
        <v>3569</v>
      </c>
      <c r="D273" s="2">
        <v>21072.262462636176</v>
      </c>
    </row>
    <row r="274" spans="1:4" x14ac:dyDescent="0.2">
      <c r="A274" s="1" t="s">
        <v>44</v>
      </c>
      <c r="B274" s="1">
        <v>73</v>
      </c>
      <c r="C274" s="1">
        <v>2110</v>
      </c>
      <c r="D274" s="2">
        <v>7986.6308976187011</v>
      </c>
    </row>
    <row r="275" spans="1:4" x14ac:dyDescent="0.2">
      <c r="A275" s="1" t="s">
        <v>44</v>
      </c>
      <c r="B275" s="1">
        <v>74</v>
      </c>
      <c r="C275" s="1">
        <v>2007</v>
      </c>
      <c r="D275" s="2">
        <v>8684.0959095007365</v>
      </c>
    </row>
    <row r="276" spans="1:4" x14ac:dyDescent="0.2">
      <c r="A276" s="1" t="s">
        <v>44</v>
      </c>
      <c r="B276" s="1">
        <v>75</v>
      </c>
      <c r="C276" s="1">
        <v>159</v>
      </c>
      <c r="D276" s="2">
        <v>9442.3010738562625</v>
      </c>
    </row>
    <row r="277" spans="1:4" x14ac:dyDescent="0.2">
      <c r="A277" s="1" t="s">
        <v>44</v>
      </c>
      <c r="B277" s="1">
        <v>77</v>
      </c>
      <c r="C277" s="1">
        <v>1012</v>
      </c>
      <c r="D277" s="2">
        <v>8389.1412932971671</v>
      </c>
    </row>
    <row r="278" spans="1:4" x14ac:dyDescent="0.2">
      <c r="A278" s="1" t="s">
        <v>44</v>
      </c>
      <c r="B278" s="1">
        <v>78</v>
      </c>
      <c r="C278" s="1">
        <v>6640</v>
      </c>
      <c r="D278" s="2">
        <v>5480.2160539452279</v>
      </c>
    </row>
    <row r="279" spans="1:4" x14ac:dyDescent="0.2">
      <c r="A279" s="1" t="s">
        <v>44</v>
      </c>
      <c r="B279" s="1">
        <v>79</v>
      </c>
      <c r="C279" s="1">
        <v>2382</v>
      </c>
      <c r="D279" s="2">
        <v>8973.4086451809872</v>
      </c>
    </row>
    <row r="280" spans="1:4" x14ac:dyDescent="0.2">
      <c r="A280" s="1" t="s">
        <v>44</v>
      </c>
      <c r="B280" s="1">
        <v>80</v>
      </c>
      <c r="C280" s="1">
        <v>4690</v>
      </c>
      <c r="D280" s="2">
        <v>7000.582941792306</v>
      </c>
    </row>
    <row r="281" spans="1:4" x14ac:dyDescent="0.2">
      <c r="A281" s="1" t="s">
        <v>44</v>
      </c>
      <c r="B281" s="1">
        <v>81</v>
      </c>
      <c r="C281" s="1">
        <v>14924</v>
      </c>
      <c r="D281" s="2">
        <v>5874.4045836422547</v>
      </c>
    </row>
    <row r="282" spans="1:4" x14ac:dyDescent="0.2">
      <c r="A282" s="1" t="s">
        <v>44</v>
      </c>
      <c r="B282" s="1">
        <v>82</v>
      </c>
      <c r="C282" s="1">
        <v>5243</v>
      </c>
      <c r="D282" s="2">
        <v>8033.2969178309468</v>
      </c>
    </row>
    <row r="283" spans="1:4" x14ac:dyDescent="0.2">
      <c r="A283" s="1" t="s">
        <v>44</v>
      </c>
      <c r="B283" s="1">
        <v>83</v>
      </c>
      <c r="C283" s="1">
        <v>14332</v>
      </c>
      <c r="D283" s="2">
        <v>10753.197379042411</v>
      </c>
    </row>
    <row r="284" spans="1:4" x14ac:dyDescent="0.2">
      <c r="A284" s="1" t="s">
        <v>44</v>
      </c>
      <c r="B284" s="1">
        <v>84</v>
      </c>
      <c r="C284" s="1">
        <v>12423</v>
      </c>
      <c r="D284" s="2">
        <v>16691.637205773528</v>
      </c>
    </row>
    <row r="285" spans="1:4" x14ac:dyDescent="0.2">
      <c r="A285" s="1" t="s">
        <v>44</v>
      </c>
      <c r="B285" s="1">
        <v>85</v>
      </c>
      <c r="C285" s="1">
        <v>68613</v>
      </c>
      <c r="D285" s="2">
        <v>8847.2289277498385</v>
      </c>
    </row>
    <row r="286" spans="1:4" x14ac:dyDescent="0.2">
      <c r="A286" s="1" t="s">
        <v>44</v>
      </c>
      <c r="B286" s="1">
        <v>86</v>
      </c>
      <c r="C286" s="1">
        <v>23024</v>
      </c>
      <c r="D286" s="2">
        <v>14283.521345735575</v>
      </c>
    </row>
    <row r="287" spans="1:4" x14ac:dyDescent="0.2">
      <c r="A287" s="1" t="s">
        <v>44</v>
      </c>
      <c r="B287" s="1">
        <v>87</v>
      </c>
      <c r="C287" s="1">
        <v>4845</v>
      </c>
      <c r="D287" s="2">
        <v>7851.4132925450986</v>
      </c>
    </row>
    <row r="288" spans="1:4" x14ac:dyDescent="0.2">
      <c r="A288" s="1" t="s">
        <v>44</v>
      </c>
      <c r="B288" s="1">
        <v>88</v>
      </c>
      <c r="C288" s="1">
        <v>32627</v>
      </c>
      <c r="D288" s="2">
        <v>4472.067888600588</v>
      </c>
    </row>
    <row r="289" spans="1:4" x14ac:dyDescent="0.2">
      <c r="A289" s="1" t="s">
        <v>44</v>
      </c>
      <c r="B289" s="1">
        <v>90</v>
      </c>
      <c r="C289" s="1">
        <v>1390</v>
      </c>
      <c r="D289" s="2">
        <v>7894.3203081171478</v>
      </c>
    </row>
    <row r="290" spans="1:4" x14ac:dyDescent="0.2">
      <c r="A290" s="1" t="s">
        <v>44</v>
      </c>
      <c r="B290" s="1">
        <v>91</v>
      </c>
      <c r="C290" s="1">
        <v>2804</v>
      </c>
      <c r="D290" s="2">
        <v>9413.3735137316489</v>
      </c>
    </row>
    <row r="291" spans="1:4" x14ac:dyDescent="0.2">
      <c r="A291" s="1" t="s">
        <v>44</v>
      </c>
      <c r="B291" s="1">
        <v>92</v>
      </c>
      <c r="C291" s="1">
        <v>76</v>
      </c>
      <c r="D291" s="2">
        <v>11890.325635110503</v>
      </c>
    </row>
    <row r="292" spans="1:4" x14ac:dyDescent="0.2">
      <c r="A292" s="1" t="s">
        <v>44</v>
      </c>
      <c r="B292" s="1">
        <v>93</v>
      </c>
      <c r="C292" s="1">
        <v>3064</v>
      </c>
      <c r="D292" s="2">
        <v>4918.6486406281183</v>
      </c>
    </row>
    <row r="293" spans="1:4" x14ac:dyDescent="0.2">
      <c r="A293" s="1" t="s">
        <v>44</v>
      </c>
      <c r="B293" s="1">
        <v>94</v>
      </c>
      <c r="C293" s="1">
        <v>17915</v>
      </c>
      <c r="D293" s="2">
        <v>6253.4731395671988</v>
      </c>
    </row>
    <row r="294" spans="1:4" x14ac:dyDescent="0.2">
      <c r="A294" s="1" t="s">
        <v>44</v>
      </c>
      <c r="B294" s="1">
        <v>95</v>
      </c>
      <c r="C294" s="1">
        <v>458</v>
      </c>
      <c r="D294" s="2">
        <v>8068.1361900350985</v>
      </c>
    </row>
    <row r="295" spans="1:4" x14ac:dyDescent="0.2">
      <c r="A295" s="1" t="s">
        <v>44</v>
      </c>
      <c r="B295" s="1">
        <v>96</v>
      </c>
      <c r="C295" s="1">
        <v>1870</v>
      </c>
      <c r="D295" s="2">
        <v>6242.7830883896213</v>
      </c>
    </row>
    <row r="296" spans="1:4" x14ac:dyDescent="0.2">
      <c r="A296" s="1" t="s">
        <v>44</v>
      </c>
      <c r="B296" s="1">
        <v>99</v>
      </c>
      <c r="C296" s="1">
        <v>679</v>
      </c>
      <c r="D296" s="2">
        <v>19020.572895321835</v>
      </c>
    </row>
    <row r="297" spans="1:4" x14ac:dyDescent="0.2">
      <c r="A297" s="1" t="s">
        <v>45</v>
      </c>
      <c r="B297" s="1">
        <v>1</v>
      </c>
      <c r="C297" s="1">
        <v>13256</v>
      </c>
      <c r="D297" s="2">
        <v>6802.095104226255</v>
      </c>
    </row>
    <row r="298" spans="1:4" x14ac:dyDescent="0.2">
      <c r="A298" s="1" t="s">
        <v>45</v>
      </c>
      <c r="B298" s="1">
        <v>2</v>
      </c>
      <c r="C298" s="1">
        <v>292</v>
      </c>
      <c r="D298" s="2">
        <v>21137.656198976056</v>
      </c>
    </row>
    <row r="299" spans="1:4" x14ac:dyDescent="0.2">
      <c r="A299" s="1" t="s">
        <v>45</v>
      </c>
      <c r="B299" s="1">
        <v>3</v>
      </c>
      <c r="C299" s="1">
        <v>173</v>
      </c>
      <c r="D299" s="2">
        <v>8431.5525436028347</v>
      </c>
    </row>
    <row r="300" spans="1:4" x14ac:dyDescent="0.2">
      <c r="A300" s="1" t="s">
        <v>45</v>
      </c>
      <c r="B300" s="1">
        <v>4</v>
      </c>
      <c r="C300" s="1">
        <v>2100</v>
      </c>
      <c r="D300" s="2">
        <v>9023.8738137497367</v>
      </c>
    </row>
    <row r="301" spans="1:4" x14ac:dyDescent="0.2">
      <c r="A301" s="1" t="s">
        <v>45</v>
      </c>
      <c r="B301" s="1">
        <v>6</v>
      </c>
      <c r="C301" s="1">
        <v>60</v>
      </c>
      <c r="D301" s="2">
        <v>35478.230909090911</v>
      </c>
    </row>
    <row r="302" spans="1:4" x14ac:dyDescent="0.2">
      <c r="A302" s="1" t="s">
        <v>45</v>
      </c>
      <c r="B302" s="1">
        <v>8</v>
      </c>
      <c r="C302" s="1">
        <v>454</v>
      </c>
      <c r="D302" s="2">
        <v>14793.927747980115</v>
      </c>
    </row>
    <row r="303" spans="1:4" x14ac:dyDescent="0.2">
      <c r="A303" s="1" t="s">
        <v>45</v>
      </c>
      <c r="B303" s="1">
        <v>9</v>
      </c>
      <c r="C303" s="1">
        <v>21</v>
      </c>
      <c r="D303" s="2">
        <v>9679.4291125541131</v>
      </c>
    </row>
    <row r="304" spans="1:4" x14ac:dyDescent="0.2">
      <c r="A304" s="1" t="s">
        <v>45</v>
      </c>
      <c r="B304" s="1">
        <v>10</v>
      </c>
      <c r="C304" s="1">
        <v>16838</v>
      </c>
      <c r="D304" s="2">
        <v>9177.4214252869788</v>
      </c>
    </row>
    <row r="305" spans="1:4" x14ac:dyDescent="0.2">
      <c r="A305" s="1" t="s">
        <v>45</v>
      </c>
      <c r="B305" s="1">
        <v>11</v>
      </c>
      <c r="C305" s="1">
        <v>869</v>
      </c>
      <c r="D305" s="2">
        <v>9479.4327866865278</v>
      </c>
    </row>
    <row r="306" spans="1:4" x14ac:dyDescent="0.2">
      <c r="A306" s="1" t="s">
        <v>45</v>
      </c>
      <c r="B306" s="1">
        <v>13</v>
      </c>
      <c r="C306" s="1">
        <v>1981</v>
      </c>
      <c r="D306" s="2">
        <v>8769.6105289936932</v>
      </c>
    </row>
    <row r="307" spans="1:4" x14ac:dyDescent="0.2">
      <c r="A307" s="1" t="s">
        <v>45</v>
      </c>
      <c r="B307" s="1">
        <v>16</v>
      </c>
      <c r="C307" s="1">
        <v>2616</v>
      </c>
      <c r="D307" s="2">
        <v>11724.681735109934</v>
      </c>
    </row>
    <row r="308" spans="1:4" x14ac:dyDescent="0.2">
      <c r="A308" s="1" t="s">
        <v>45</v>
      </c>
      <c r="B308" s="1">
        <v>18</v>
      </c>
      <c r="C308" s="1">
        <v>700</v>
      </c>
      <c r="D308" s="2">
        <v>8425.5068205009266</v>
      </c>
    </row>
    <row r="309" spans="1:4" x14ac:dyDescent="0.2">
      <c r="A309" s="1" t="s">
        <v>45</v>
      </c>
      <c r="B309" s="1">
        <v>19</v>
      </c>
      <c r="C309" s="1">
        <v>268</v>
      </c>
      <c r="D309" s="2">
        <v>36815.132920624164</v>
      </c>
    </row>
    <row r="310" spans="1:4" x14ac:dyDescent="0.2">
      <c r="A310" s="1" t="s">
        <v>45</v>
      </c>
      <c r="B310" s="1">
        <v>20</v>
      </c>
      <c r="C310" s="1">
        <v>3001</v>
      </c>
      <c r="D310" s="2">
        <v>13445.172319231751</v>
      </c>
    </row>
    <row r="311" spans="1:4" x14ac:dyDescent="0.2">
      <c r="A311" s="1" t="s">
        <v>45</v>
      </c>
      <c r="B311" s="1">
        <v>21</v>
      </c>
      <c r="C311" s="1">
        <v>860</v>
      </c>
      <c r="D311" s="2">
        <v>16140.449386346869</v>
      </c>
    </row>
    <row r="312" spans="1:4" x14ac:dyDescent="0.2">
      <c r="A312" s="1" t="s">
        <v>45</v>
      </c>
      <c r="B312" s="1">
        <v>22</v>
      </c>
      <c r="C312" s="1">
        <v>10149</v>
      </c>
      <c r="D312" s="2">
        <v>11367.350575679269</v>
      </c>
    </row>
    <row r="313" spans="1:4" x14ac:dyDescent="0.2">
      <c r="A313" s="1" t="s">
        <v>45</v>
      </c>
      <c r="B313" s="1">
        <v>23</v>
      </c>
      <c r="C313" s="1">
        <v>17076</v>
      </c>
      <c r="D313" s="2">
        <v>12809.143430521701</v>
      </c>
    </row>
    <row r="314" spans="1:4" x14ac:dyDescent="0.2">
      <c r="A314" s="1" t="s">
        <v>45</v>
      </c>
      <c r="B314" s="1">
        <v>26</v>
      </c>
      <c r="C314" s="1">
        <v>12806</v>
      </c>
      <c r="D314" s="2">
        <v>17279.105672009191</v>
      </c>
    </row>
    <row r="315" spans="1:4" x14ac:dyDescent="0.2">
      <c r="A315" s="1" t="s">
        <v>45</v>
      </c>
      <c r="B315" s="1">
        <v>27</v>
      </c>
      <c r="C315" s="1">
        <v>6671</v>
      </c>
      <c r="D315" s="2">
        <v>13809.513426754238</v>
      </c>
    </row>
    <row r="316" spans="1:4" x14ac:dyDescent="0.2">
      <c r="A316" s="1" t="s">
        <v>45</v>
      </c>
      <c r="B316" s="1">
        <v>29</v>
      </c>
      <c r="C316" s="1">
        <v>3638</v>
      </c>
      <c r="D316" s="2">
        <v>13896.503888002342</v>
      </c>
    </row>
    <row r="317" spans="1:4" x14ac:dyDescent="0.2">
      <c r="A317" s="1" t="s">
        <v>45</v>
      </c>
      <c r="B317" s="1">
        <v>31</v>
      </c>
      <c r="C317" s="1">
        <v>2331</v>
      </c>
      <c r="D317" s="2">
        <v>8666.5133896264924</v>
      </c>
    </row>
    <row r="318" spans="1:4" x14ac:dyDescent="0.2">
      <c r="A318" s="1" t="s">
        <v>45</v>
      </c>
      <c r="B318" s="1">
        <v>32</v>
      </c>
      <c r="C318" s="1">
        <v>3834</v>
      </c>
      <c r="D318" s="2">
        <v>11947.077663342627</v>
      </c>
    </row>
    <row r="319" spans="1:4" x14ac:dyDescent="0.2">
      <c r="A319" s="1" t="s">
        <v>45</v>
      </c>
      <c r="B319" s="1">
        <v>33</v>
      </c>
      <c r="C319" s="1">
        <v>1056</v>
      </c>
      <c r="D319" s="2">
        <v>10164.162529413448</v>
      </c>
    </row>
    <row r="320" spans="1:4" x14ac:dyDescent="0.2">
      <c r="A320" s="1" t="s">
        <v>45</v>
      </c>
      <c r="B320" s="1">
        <v>35</v>
      </c>
      <c r="C320" s="1">
        <v>1575</v>
      </c>
      <c r="D320" s="2">
        <v>28054.89095490046</v>
      </c>
    </row>
    <row r="321" spans="1:4" x14ac:dyDescent="0.2">
      <c r="A321" s="1" t="s">
        <v>45</v>
      </c>
      <c r="B321" s="1">
        <v>36</v>
      </c>
      <c r="C321" s="1">
        <v>802</v>
      </c>
      <c r="D321" s="2">
        <v>17988.980926291777</v>
      </c>
    </row>
    <row r="322" spans="1:4" x14ac:dyDescent="0.2">
      <c r="A322" s="1" t="s">
        <v>45</v>
      </c>
      <c r="B322" s="1">
        <v>37</v>
      </c>
      <c r="C322" s="1">
        <v>348</v>
      </c>
      <c r="D322" s="2">
        <v>10621.298241549324</v>
      </c>
    </row>
    <row r="323" spans="1:4" x14ac:dyDescent="0.2">
      <c r="A323" s="1" t="s">
        <v>45</v>
      </c>
      <c r="B323" s="1">
        <v>38</v>
      </c>
      <c r="C323" s="1">
        <v>1563</v>
      </c>
      <c r="D323" s="2">
        <v>9401.7304942995488</v>
      </c>
    </row>
    <row r="324" spans="1:4" x14ac:dyDescent="0.2">
      <c r="A324" s="1" t="s">
        <v>45</v>
      </c>
      <c r="B324" s="1">
        <v>39</v>
      </c>
      <c r="C324" s="1">
        <v>20</v>
      </c>
      <c r="D324" s="2">
        <v>21122.376919191916</v>
      </c>
    </row>
    <row r="325" spans="1:4" x14ac:dyDescent="0.2">
      <c r="A325" s="1" t="s">
        <v>45</v>
      </c>
      <c r="B325" s="1">
        <v>41</v>
      </c>
      <c r="C325" s="1">
        <v>23502</v>
      </c>
      <c r="D325" s="2">
        <v>8353.6501268489974</v>
      </c>
    </row>
    <row r="326" spans="1:4" x14ac:dyDescent="0.2">
      <c r="A326" s="1" t="s">
        <v>45</v>
      </c>
      <c r="B326" s="1">
        <v>42</v>
      </c>
      <c r="C326" s="1">
        <v>9305</v>
      </c>
      <c r="D326" s="2">
        <v>10121.688463982737</v>
      </c>
    </row>
    <row r="327" spans="1:4" x14ac:dyDescent="0.2">
      <c r="A327" s="1" t="s">
        <v>45</v>
      </c>
      <c r="B327" s="1">
        <v>43</v>
      </c>
      <c r="C327" s="1">
        <v>30803</v>
      </c>
      <c r="D327" s="2">
        <v>7541.9861326228356</v>
      </c>
    </row>
    <row r="328" spans="1:4" x14ac:dyDescent="0.2">
      <c r="A328" s="1" t="s">
        <v>45</v>
      </c>
      <c r="B328" s="1">
        <v>45</v>
      </c>
      <c r="C328" s="1">
        <v>9867</v>
      </c>
      <c r="D328" s="2">
        <v>9380.0064997913814</v>
      </c>
    </row>
    <row r="329" spans="1:4" x14ac:dyDescent="0.2">
      <c r="A329" s="1" t="s">
        <v>45</v>
      </c>
      <c r="B329" s="1">
        <v>46</v>
      </c>
      <c r="C329" s="1">
        <v>21365</v>
      </c>
      <c r="D329" s="2">
        <v>10670.241368933212</v>
      </c>
    </row>
    <row r="330" spans="1:4" x14ac:dyDescent="0.2">
      <c r="A330" s="1" t="s">
        <v>45</v>
      </c>
      <c r="B330" s="1">
        <v>47</v>
      </c>
      <c r="C330" s="1">
        <v>52253</v>
      </c>
      <c r="D330" s="2">
        <v>6297.2769367265591</v>
      </c>
    </row>
    <row r="331" spans="1:4" x14ac:dyDescent="0.2">
      <c r="A331" s="1" t="s">
        <v>45</v>
      </c>
      <c r="B331" s="1">
        <v>49</v>
      </c>
      <c r="C331" s="1">
        <v>20090</v>
      </c>
      <c r="D331" s="2">
        <v>9899.6104652476497</v>
      </c>
    </row>
    <row r="332" spans="1:4" x14ac:dyDescent="0.2">
      <c r="A332" s="1" t="s">
        <v>45</v>
      </c>
      <c r="B332" s="1">
        <v>50</v>
      </c>
      <c r="C332" s="1">
        <v>251</v>
      </c>
      <c r="D332" s="2">
        <v>35139.936082078631</v>
      </c>
    </row>
    <row r="333" spans="1:4" x14ac:dyDescent="0.2">
      <c r="A333" s="1" t="s">
        <v>45</v>
      </c>
      <c r="B333" s="1">
        <v>51</v>
      </c>
      <c r="C333" s="1">
        <v>153</v>
      </c>
      <c r="D333" s="2">
        <v>29070.574964160751</v>
      </c>
    </row>
    <row r="334" spans="1:4" x14ac:dyDescent="0.2">
      <c r="A334" s="1" t="s">
        <v>45</v>
      </c>
      <c r="B334" s="1">
        <v>52</v>
      </c>
      <c r="C334" s="1">
        <v>3717</v>
      </c>
      <c r="D334" s="2">
        <v>12215.043141540695</v>
      </c>
    </row>
    <row r="335" spans="1:4" x14ac:dyDescent="0.2">
      <c r="A335" s="1" t="s">
        <v>45</v>
      </c>
      <c r="B335" s="1">
        <v>55</v>
      </c>
      <c r="C335" s="1">
        <v>6943</v>
      </c>
      <c r="D335" s="2">
        <v>6969.2599742408911</v>
      </c>
    </row>
    <row r="336" spans="1:4" x14ac:dyDescent="0.2">
      <c r="A336" s="1" t="s">
        <v>45</v>
      </c>
      <c r="B336" s="1">
        <v>56</v>
      </c>
      <c r="C336" s="1">
        <v>29583</v>
      </c>
      <c r="D336" s="2">
        <v>4899.4140298465172</v>
      </c>
    </row>
    <row r="337" spans="1:4" x14ac:dyDescent="0.2">
      <c r="A337" s="1" t="s">
        <v>45</v>
      </c>
      <c r="B337" s="1">
        <v>58</v>
      </c>
      <c r="C337" s="1">
        <v>259</v>
      </c>
      <c r="D337" s="2">
        <v>9863.5956201563349</v>
      </c>
    </row>
    <row r="338" spans="1:4" x14ac:dyDescent="0.2">
      <c r="A338" s="1" t="s">
        <v>45</v>
      </c>
      <c r="B338" s="1">
        <v>59</v>
      </c>
      <c r="C338" s="1">
        <v>275</v>
      </c>
      <c r="D338" s="2">
        <v>7577.5583179850455</v>
      </c>
    </row>
    <row r="339" spans="1:4" x14ac:dyDescent="0.2">
      <c r="A339" s="1" t="s">
        <v>45</v>
      </c>
      <c r="B339" s="1">
        <v>60</v>
      </c>
      <c r="C339" s="1">
        <v>225</v>
      </c>
      <c r="D339" s="2">
        <v>12207.093716690728</v>
      </c>
    </row>
    <row r="340" spans="1:4" x14ac:dyDescent="0.2">
      <c r="A340" s="1" t="s">
        <v>45</v>
      </c>
      <c r="B340" s="1">
        <v>61</v>
      </c>
      <c r="C340" s="1">
        <v>1678</v>
      </c>
      <c r="D340" s="2">
        <v>14189.379740491944</v>
      </c>
    </row>
    <row r="341" spans="1:4" x14ac:dyDescent="0.2">
      <c r="A341" s="1" t="s">
        <v>45</v>
      </c>
      <c r="B341" s="1">
        <v>62</v>
      </c>
      <c r="C341" s="1">
        <v>10270</v>
      </c>
      <c r="D341" s="2">
        <v>23125.575083344997</v>
      </c>
    </row>
    <row r="342" spans="1:4" x14ac:dyDescent="0.2">
      <c r="A342" s="1" t="s">
        <v>45</v>
      </c>
      <c r="B342" s="1">
        <v>63</v>
      </c>
      <c r="C342" s="1">
        <v>277</v>
      </c>
      <c r="D342" s="2">
        <v>15985.424333979297</v>
      </c>
    </row>
    <row r="343" spans="1:4" x14ac:dyDescent="0.2">
      <c r="A343" s="1" t="s">
        <v>45</v>
      </c>
      <c r="B343" s="1">
        <v>64</v>
      </c>
      <c r="C343" s="1">
        <v>8285</v>
      </c>
      <c r="D343" s="2">
        <v>14707.372118521154</v>
      </c>
    </row>
    <row r="344" spans="1:4" x14ac:dyDescent="0.2">
      <c r="A344" s="1" t="s">
        <v>45</v>
      </c>
      <c r="B344" s="1">
        <v>68</v>
      </c>
      <c r="C344" s="1">
        <v>3153</v>
      </c>
      <c r="D344" s="2">
        <v>9456.4944253142548</v>
      </c>
    </row>
    <row r="345" spans="1:4" x14ac:dyDescent="0.2">
      <c r="A345" s="1" t="s">
        <v>45</v>
      </c>
      <c r="B345" s="1">
        <v>69</v>
      </c>
      <c r="C345" s="1">
        <v>7588</v>
      </c>
      <c r="D345" s="2">
        <v>8719.0330349060441</v>
      </c>
    </row>
    <row r="346" spans="1:4" x14ac:dyDescent="0.2">
      <c r="A346" s="1" t="s">
        <v>45</v>
      </c>
      <c r="B346" s="1">
        <v>70</v>
      </c>
      <c r="C346" s="1">
        <v>4805</v>
      </c>
      <c r="D346" s="2">
        <v>10467.742936320232</v>
      </c>
    </row>
    <row r="347" spans="1:4" x14ac:dyDescent="0.2">
      <c r="A347" s="1" t="s">
        <v>45</v>
      </c>
      <c r="B347" s="1">
        <v>71</v>
      </c>
      <c r="C347" s="1">
        <v>8825</v>
      </c>
      <c r="D347" s="2">
        <v>11407.472722604463</v>
      </c>
    </row>
    <row r="348" spans="1:4" x14ac:dyDescent="0.2">
      <c r="A348" s="1" t="s">
        <v>45</v>
      </c>
      <c r="B348" s="1">
        <v>72</v>
      </c>
      <c r="C348" s="1">
        <v>4294</v>
      </c>
      <c r="D348" s="2">
        <v>25880.498929409925</v>
      </c>
    </row>
    <row r="349" spans="1:4" x14ac:dyDescent="0.2">
      <c r="A349" s="1" t="s">
        <v>45</v>
      </c>
      <c r="B349" s="1">
        <v>73</v>
      </c>
      <c r="C349" s="1">
        <v>2558</v>
      </c>
      <c r="D349" s="2">
        <v>7939.6470489125495</v>
      </c>
    </row>
    <row r="350" spans="1:4" x14ac:dyDescent="0.2">
      <c r="A350" s="1" t="s">
        <v>45</v>
      </c>
      <c r="B350" s="1">
        <v>74</v>
      </c>
      <c r="C350" s="1">
        <v>1570</v>
      </c>
      <c r="D350" s="2">
        <v>9154.6217135642146</v>
      </c>
    </row>
    <row r="351" spans="1:4" x14ac:dyDescent="0.2">
      <c r="A351" s="1" t="s">
        <v>45</v>
      </c>
      <c r="B351" s="1">
        <v>75</v>
      </c>
      <c r="C351" s="1">
        <v>443</v>
      </c>
      <c r="D351" s="2">
        <v>12931.906289352721</v>
      </c>
    </row>
    <row r="352" spans="1:4" x14ac:dyDescent="0.2">
      <c r="A352" s="1" t="s">
        <v>45</v>
      </c>
      <c r="B352" s="1">
        <v>77</v>
      </c>
      <c r="C352" s="1">
        <v>1195</v>
      </c>
      <c r="D352" s="2">
        <v>9298.0300794556442</v>
      </c>
    </row>
    <row r="353" spans="1:4" x14ac:dyDescent="0.2">
      <c r="A353" s="1" t="s">
        <v>45</v>
      </c>
      <c r="B353" s="1">
        <v>78</v>
      </c>
      <c r="C353" s="1">
        <v>12790</v>
      </c>
      <c r="D353" s="2">
        <v>5032.7906924855688</v>
      </c>
    </row>
    <row r="354" spans="1:4" x14ac:dyDescent="0.2">
      <c r="A354" s="1" t="s">
        <v>45</v>
      </c>
      <c r="B354" s="1">
        <v>79</v>
      </c>
      <c r="C354" s="1">
        <v>1803</v>
      </c>
      <c r="D354" s="2">
        <v>8776.6226131651565</v>
      </c>
    </row>
    <row r="355" spans="1:4" x14ac:dyDescent="0.2">
      <c r="A355" s="1" t="s">
        <v>45</v>
      </c>
      <c r="B355" s="1">
        <v>80</v>
      </c>
      <c r="C355" s="1">
        <v>6580</v>
      </c>
      <c r="D355" s="2">
        <v>7226.37406418724</v>
      </c>
    </row>
    <row r="356" spans="1:4" x14ac:dyDescent="0.2">
      <c r="A356" s="1" t="s">
        <v>45</v>
      </c>
      <c r="B356" s="1">
        <v>81</v>
      </c>
      <c r="C356" s="1">
        <v>13866</v>
      </c>
      <c r="D356" s="2">
        <v>6021.8078695144031</v>
      </c>
    </row>
    <row r="357" spans="1:4" x14ac:dyDescent="0.2">
      <c r="A357" s="1" t="s">
        <v>45</v>
      </c>
      <c r="B357" s="1">
        <v>82</v>
      </c>
      <c r="C357" s="1">
        <v>11502</v>
      </c>
      <c r="D357" s="2">
        <v>5094.7848129210524</v>
      </c>
    </row>
    <row r="358" spans="1:4" x14ac:dyDescent="0.2">
      <c r="A358" s="1" t="s">
        <v>45</v>
      </c>
      <c r="B358" s="1">
        <v>83</v>
      </c>
      <c r="C358" s="1">
        <v>31616</v>
      </c>
      <c r="D358" s="2">
        <v>9644.0155176170701</v>
      </c>
    </row>
    <row r="359" spans="1:4" x14ac:dyDescent="0.2">
      <c r="A359" s="1" t="s">
        <v>45</v>
      </c>
      <c r="B359" s="1">
        <v>84</v>
      </c>
      <c r="C359" s="1">
        <v>13370</v>
      </c>
      <c r="D359" s="2">
        <v>18169.729675181698</v>
      </c>
    </row>
    <row r="360" spans="1:4" x14ac:dyDescent="0.2">
      <c r="A360" s="1" t="s">
        <v>45</v>
      </c>
      <c r="B360" s="1">
        <v>85</v>
      </c>
      <c r="C360" s="1">
        <v>54990</v>
      </c>
      <c r="D360" s="2">
        <v>11295.911590740492</v>
      </c>
    </row>
    <row r="361" spans="1:4" x14ac:dyDescent="0.2">
      <c r="A361" s="1" t="s">
        <v>45</v>
      </c>
      <c r="B361" s="1">
        <v>86</v>
      </c>
      <c r="C361" s="1">
        <v>26637</v>
      </c>
      <c r="D361" s="2">
        <v>13524.637424793891</v>
      </c>
    </row>
    <row r="362" spans="1:4" x14ac:dyDescent="0.2">
      <c r="A362" s="1" t="s">
        <v>45</v>
      </c>
      <c r="B362" s="1">
        <v>87</v>
      </c>
      <c r="C362" s="1">
        <v>8818</v>
      </c>
      <c r="D362" s="2">
        <v>7887.0521255010226</v>
      </c>
    </row>
    <row r="363" spans="1:4" x14ac:dyDescent="0.2">
      <c r="A363" s="1" t="s">
        <v>45</v>
      </c>
      <c r="B363" s="1">
        <v>88</v>
      </c>
      <c r="C363" s="1">
        <v>38295</v>
      </c>
      <c r="D363" s="2">
        <v>3884.6521782633554</v>
      </c>
    </row>
    <row r="364" spans="1:4" x14ac:dyDescent="0.2">
      <c r="A364" s="1" t="s">
        <v>45</v>
      </c>
      <c r="B364" s="1">
        <v>90</v>
      </c>
      <c r="C364" s="1">
        <v>1244</v>
      </c>
      <c r="D364" s="2">
        <v>6177.2069166631782</v>
      </c>
    </row>
    <row r="365" spans="1:4" x14ac:dyDescent="0.2">
      <c r="A365" s="1" t="s">
        <v>45</v>
      </c>
      <c r="B365" s="1">
        <v>91</v>
      </c>
      <c r="C365" s="1">
        <v>715</v>
      </c>
      <c r="D365" s="2">
        <v>10217.801210910307</v>
      </c>
    </row>
    <row r="366" spans="1:4" x14ac:dyDescent="0.2">
      <c r="A366" s="1" t="s">
        <v>45</v>
      </c>
      <c r="B366" s="1">
        <v>92</v>
      </c>
      <c r="C366" s="1">
        <v>322</v>
      </c>
      <c r="D366" s="2">
        <v>6338.2138055353935</v>
      </c>
    </row>
    <row r="367" spans="1:4" x14ac:dyDescent="0.2">
      <c r="A367" s="1" t="s">
        <v>45</v>
      </c>
      <c r="B367" s="1">
        <v>93</v>
      </c>
      <c r="C367" s="1">
        <v>4706</v>
      </c>
      <c r="D367" s="2">
        <v>5739.2366792124431</v>
      </c>
    </row>
    <row r="368" spans="1:4" x14ac:dyDescent="0.2">
      <c r="A368" s="1" t="s">
        <v>45</v>
      </c>
      <c r="B368" s="1">
        <v>94</v>
      </c>
      <c r="C368" s="1">
        <v>12100</v>
      </c>
      <c r="D368" s="2">
        <v>6327.0862353702059</v>
      </c>
    </row>
    <row r="369" spans="1:4" x14ac:dyDescent="0.2">
      <c r="A369" s="1" t="s">
        <v>45</v>
      </c>
      <c r="B369" s="1">
        <v>95</v>
      </c>
      <c r="C369" s="1">
        <v>718</v>
      </c>
      <c r="D369" s="2">
        <v>7591.6670559052582</v>
      </c>
    </row>
    <row r="370" spans="1:4" x14ac:dyDescent="0.2">
      <c r="A370" s="1" t="s">
        <v>45</v>
      </c>
      <c r="B370" s="1">
        <v>96</v>
      </c>
      <c r="C370" s="1">
        <v>2724</v>
      </c>
      <c r="D370" s="2">
        <v>5575.8798170635482</v>
      </c>
    </row>
    <row r="371" spans="1:4" x14ac:dyDescent="0.2">
      <c r="A371" s="1" t="s">
        <v>45</v>
      </c>
      <c r="B371" s="1">
        <v>99</v>
      </c>
      <c r="C371" s="1">
        <v>52</v>
      </c>
      <c r="D371" s="2">
        <v>15987.164578477083</v>
      </c>
    </row>
    <row r="372" spans="1:4" x14ac:dyDescent="0.2">
      <c r="A372" s="1" t="s">
        <v>46</v>
      </c>
      <c r="B372" s="1">
        <v>1</v>
      </c>
      <c r="C372" s="1">
        <v>7552</v>
      </c>
      <c r="D372" s="2">
        <v>9309.6838559723365</v>
      </c>
    </row>
    <row r="373" spans="1:4" x14ac:dyDescent="0.2">
      <c r="A373" s="1" t="s">
        <v>46</v>
      </c>
      <c r="B373" s="1">
        <v>2</v>
      </c>
      <c r="C373" s="1">
        <v>157</v>
      </c>
      <c r="D373" s="2">
        <v>32535.762805718681</v>
      </c>
    </row>
    <row r="374" spans="1:4" x14ac:dyDescent="0.2">
      <c r="A374" s="1" t="s">
        <v>46</v>
      </c>
      <c r="B374" s="1">
        <v>3</v>
      </c>
      <c r="C374" s="1">
        <v>95</v>
      </c>
      <c r="D374" s="2">
        <v>10336.140078605607</v>
      </c>
    </row>
    <row r="375" spans="1:4" x14ac:dyDescent="0.2">
      <c r="A375" s="1" t="s">
        <v>46</v>
      </c>
      <c r="B375" s="1">
        <v>4</v>
      </c>
      <c r="C375" s="1">
        <v>807</v>
      </c>
      <c r="D375" s="2">
        <v>10271.255889126709</v>
      </c>
    </row>
    <row r="376" spans="1:4" x14ac:dyDescent="0.2">
      <c r="A376" s="1" t="s">
        <v>46</v>
      </c>
      <c r="B376" s="1">
        <v>6</v>
      </c>
      <c r="C376" s="1">
        <v>133</v>
      </c>
      <c r="D376" s="2">
        <v>43423.911611279247</v>
      </c>
    </row>
    <row r="377" spans="1:4" x14ac:dyDescent="0.2">
      <c r="A377" s="1" t="s">
        <v>46</v>
      </c>
      <c r="B377" s="1">
        <v>8</v>
      </c>
      <c r="C377" s="1">
        <v>377</v>
      </c>
      <c r="D377" s="2">
        <v>18875.674230175959</v>
      </c>
    </row>
    <row r="378" spans="1:4" x14ac:dyDescent="0.2">
      <c r="A378" s="1" t="s">
        <v>46</v>
      </c>
      <c r="B378" s="1">
        <v>9</v>
      </c>
      <c r="C378" s="1">
        <v>31</v>
      </c>
      <c r="D378" s="2">
        <v>41297.791666666672</v>
      </c>
    </row>
    <row r="379" spans="1:4" x14ac:dyDescent="0.2">
      <c r="A379" s="1" t="s">
        <v>46</v>
      </c>
      <c r="B379" s="1">
        <v>10</v>
      </c>
      <c r="C379" s="1">
        <v>13055</v>
      </c>
      <c r="D379" s="2">
        <v>11441.221057417186</v>
      </c>
    </row>
    <row r="380" spans="1:4" x14ac:dyDescent="0.2">
      <c r="A380" s="1" t="s">
        <v>46</v>
      </c>
      <c r="B380" s="1">
        <v>11</v>
      </c>
      <c r="C380" s="1">
        <v>1547</v>
      </c>
      <c r="D380" s="2">
        <v>20285.304538482051</v>
      </c>
    </row>
    <row r="381" spans="1:4" x14ac:dyDescent="0.2">
      <c r="A381" s="1" t="s">
        <v>46</v>
      </c>
      <c r="B381" s="1">
        <v>12</v>
      </c>
      <c r="C381" s="1">
        <v>74</v>
      </c>
      <c r="D381" s="2">
        <v>16550.463984438982</v>
      </c>
    </row>
    <row r="382" spans="1:4" x14ac:dyDescent="0.2">
      <c r="A382" s="1" t="s">
        <v>46</v>
      </c>
      <c r="B382" s="1">
        <v>13</v>
      </c>
      <c r="C382" s="1">
        <v>1632</v>
      </c>
      <c r="D382" s="2">
        <v>11571.122543692371</v>
      </c>
    </row>
    <row r="383" spans="1:4" x14ac:dyDescent="0.2">
      <c r="A383" s="1" t="s">
        <v>46</v>
      </c>
      <c r="B383" s="1">
        <v>16</v>
      </c>
      <c r="C383" s="1">
        <v>1895</v>
      </c>
      <c r="D383" s="2">
        <v>15737.034644294439</v>
      </c>
    </row>
    <row r="384" spans="1:4" x14ac:dyDescent="0.2">
      <c r="A384" s="1" t="s">
        <v>46</v>
      </c>
      <c r="B384" s="1">
        <v>18</v>
      </c>
      <c r="C384" s="1">
        <v>2341</v>
      </c>
      <c r="D384" s="2">
        <v>11568.380860690861</v>
      </c>
    </row>
    <row r="385" spans="1:4" x14ac:dyDescent="0.2">
      <c r="A385" s="1" t="s">
        <v>46</v>
      </c>
      <c r="B385" s="1">
        <v>19</v>
      </c>
      <c r="C385" s="1">
        <v>189</v>
      </c>
      <c r="D385" s="2">
        <v>25473.329146529533</v>
      </c>
    </row>
    <row r="386" spans="1:4" x14ac:dyDescent="0.2">
      <c r="A386" s="1" t="s">
        <v>46</v>
      </c>
      <c r="B386" s="1">
        <v>20</v>
      </c>
      <c r="C386" s="1">
        <v>3053</v>
      </c>
      <c r="D386" s="2">
        <v>17086.449533234168</v>
      </c>
    </row>
    <row r="387" spans="1:4" x14ac:dyDescent="0.2">
      <c r="A387" s="1" t="s">
        <v>46</v>
      </c>
      <c r="B387" s="1">
        <v>21</v>
      </c>
      <c r="C387" s="1">
        <v>3286</v>
      </c>
      <c r="D387" s="2">
        <v>25776.229831595698</v>
      </c>
    </row>
    <row r="388" spans="1:4" x14ac:dyDescent="0.2">
      <c r="A388" s="1" t="s">
        <v>46</v>
      </c>
      <c r="B388" s="1">
        <v>22</v>
      </c>
      <c r="C388" s="1">
        <v>3018</v>
      </c>
      <c r="D388" s="2">
        <v>17435.973999748523</v>
      </c>
    </row>
    <row r="389" spans="1:4" x14ac:dyDescent="0.2">
      <c r="A389" s="1" t="s">
        <v>46</v>
      </c>
      <c r="B389" s="1">
        <v>23</v>
      </c>
      <c r="C389" s="1">
        <v>11498</v>
      </c>
      <c r="D389" s="2">
        <v>16625.495395237176</v>
      </c>
    </row>
    <row r="390" spans="1:4" x14ac:dyDescent="0.2">
      <c r="A390" s="1" t="s">
        <v>46</v>
      </c>
      <c r="B390" s="1">
        <v>26</v>
      </c>
      <c r="C390" s="1">
        <v>16551</v>
      </c>
      <c r="D390" s="2">
        <v>28523.27593739743</v>
      </c>
    </row>
    <row r="391" spans="1:4" x14ac:dyDescent="0.2">
      <c r="A391" s="1" t="s">
        <v>46</v>
      </c>
      <c r="B391" s="1">
        <v>27</v>
      </c>
      <c r="C391" s="1">
        <v>9774</v>
      </c>
      <c r="D391" s="2">
        <v>23047.481177656162</v>
      </c>
    </row>
    <row r="392" spans="1:4" x14ac:dyDescent="0.2">
      <c r="A392" s="1" t="s">
        <v>46</v>
      </c>
      <c r="B392" s="1">
        <v>29</v>
      </c>
      <c r="C392" s="1">
        <v>9320</v>
      </c>
      <c r="D392" s="2">
        <v>27688.738238713766</v>
      </c>
    </row>
    <row r="393" spans="1:4" x14ac:dyDescent="0.2">
      <c r="A393" s="1" t="s">
        <v>46</v>
      </c>
      <c r="B393" s="1">
        <v>31</v>
      </c>
      <c r="C393" s="1">
        <v>3091</v>
      </c>
      <c r="D393" s="2">
        <v>11574.404505563092</v>
      </c>
    </row>
    <row r="394" spans="1:4" x14ac:dyDescent="0.2">
      <c r="A394" s="1" t="s">
        <v>46</v>
      </c>
      <c r="B394" s="1">
        <v>32</v>
      </c>
      <c r="C394" s="1">
        <v>3195</v>
      </c>
      <c r="D394" s="2">
        <v>18189.612612600424</v>
      </c>
    </row>
    <row r="395" spans="1:4" x14ac:dyDescent="0.2">
      <c r="A395" s="1" t="s">
        <v>46</v>
      </c>
      <c r="B395" s="1">
        <v>33</v>
      </c>
      <c r="C395" s="1">
        <v>1220</v>
      </c>
      <c r="D395" s="2">
        <v>19039.788671669859</v>
      </c>
    </row>
    <row r="396" spans="1:4" x14ac:dyDescent="0.2">
      <c r="A396" s="1" t="s">
        <v>46</v>
      </c>
      <c r="B396" s="1">
        <v>34</v>
      </c>
      <c r="C396" s="1">
        <v>592</v>
      </c>
      <c r="D396" s="2">
        <v>12315.888894495154</v>
      </c>
    </row>
    <row r="397" spans="1:4" x14ac:dyDescent="0.2">
      <c r="A397" s="1" t="s">
        <v>46</v>
      </c>
      <c r="B397" s="1">
        <v>35</v>
      </c>
      <c r="C397" s="1">
        <v>2807</v>
      </c>
      <c r="D397" s="2">
        <v>32673.111847134383</v>
      </c>
    </row>
    <row r="398" spans="1:4" x14ac:dyDescent="0.2">
      <c r="A398" s="1" t="s">
        <v>46</v>
      </c>
      <c r="B398" s="1">
        <v>36</v>
      </c>
      <c r="C398" s="1">
        <v>1153</v>
      </c>
      <c r="D398" s="2">
        <v>18835.052118227217</v>
      </c>
    </row>
    <row r="399" spans="1:4" x14ac:dyDescent="0.2">
      <c r="A399" s="1" t="s">
        <v>46</v>
      </c>
      <c r="B399" s="1">
        <v>37</v>
      </c>
      <c r="C399" s="1">
        <v>209</v>
      </c>
      <c r="D399" s="2">
        <v>14949.415815882689</v>
      </c>
    </row>
    <row r="400" spans="1:4" x14ac:dyDescent="0.2">
      <c r="A400" s="1" t="s">
        <v>46</v>
      </c>
      <c r="B400" s="1">
        <v>38</v>
      </c>
      <c r="C400" s="1">
        <v>1999</v>
      </c>
      <c r="D400" s="2">
        <v>13116.127380771888</v>
      </c>
    </row>
    <row r="401" spans="1:4" x14ac:dyDescent="0.2">
      <c r="A401" s="1" t="s">
        <v>46</v>
      </c>
      <c r="B401" s="1">
        <v>39</v>
      </c>
      <c r="C401" s="1">
        <v>41</v>
      </c>
      <c r="D401" s="2">
        <v>19566.967960088696</v>
      </c>
    </row>
    <row r="402" spans="1:4" x14ac:dyDescent="0.2">
      <c r="A402" s="1" t="s">
        <v>46</v>
      </c>
      <c r="B402" s="1">
        <v>41</v>
      </c>
      <c r="C402" s="1">
        <v>16381</v>
      </c>
      <c r="D402" s="2">
        <v>16098.553329117323</v>
      </c>
    </row>
    <row r="403" spans="1:4" x14ac:dyDescent="0.2">
      <c r="A403" s="1" t="s">
        <v>46</v>
      </c>
      <c r="B403" s="1">
        <v>42</v>
      </c>
      <c r="C403" s="1">
        <v>6824</v>
      </c>
      <c r="D403" s="2">
        <v>15615.039905999773</v>
      </c>
    </row>
    <row r="404" spans="1:4" x14ac:dyDescent="0.2">
      <c r="A404" s="1" t="s">
        <v>46</v>
      </c>
      <c r="B404" s="1">
        <v>43</v>
      </c>
      <c r="C404" s="1">
        <v>23519</v>
      </c>
      <c r="D404" s="2">
        <v>12721.814952043245</v>
      </c>
    </row>
    <row r="405" spans="1:4" x14ac:dyDescent="0.2">
      <c r="A405" s="1" t="s">
        <v>46</v>
      </c>
      <c r="B405" s="1">
        <v>45</v>
      </c>
      <c r="C405" s="1">
        <v>17945</v>
      </c>
      <c r="D405" s="2">
        <v>13893.610137654105</v>
      </c>
    </row>
    <row r="406" spans="1:4" x14ac:dyDescent="0.2">
      <c r="A406" s="1" t="s">
        <v>46</v>
      </c>
      <c r="B406" s="1">
        <v>46</v>
      </c>
      <c r="C406" s="1">
        <v>62709</v>
      </c>
      <c r="D406" s="2">
        <v>15616.223667709906</v>
      </c>
    </row>
    <row r="407" spans="1:4" x14ac:dyDescent="0.2">
      <c r="A407" s="1" t="s">
        <v>46</v>
      </c>
      <c r="B407" s="1">
        <v>47</v>
      </c>
      <c r="C407" s="1">
        <v>93783</v>
      </c>
      <c r="D407" s="2">
        <v>7953.0331155056374</v>
      </c>
    </row>
    <row r="408" spans="1:4" x14ac:dyDescent="0.2">
      <c r="A408" s="1" t="s">
        <v>46</v>
      </c>
      <c r="B408" s="1">
        <v>49</v>
      </c>
      <c r="C408" s="1">
        <v>20368</v>
      </c>
      <c r="D408" s="2">
        <v>11467.972925366597</v>
      </c>
    </row>
    <row r="409" spans="1:4" x14ac:dyDescent="0.2">
      <c r="A409" s="1" t="s">
        <v>46</v>
      </c>
      <c r="B409" s="1">
        <v>50</v>
      </c>
      <c r="C409" s="1">
        <v>97</v>
      </c>
      <c r="D409" s="2">
        <v>57078.917388167385</v>
      </c>
    </row>
    <row r="410" spans="1:4" x14ac:dyDescent="0.2">
      <c r="A410" s="1" t="s">
        <v>46</v>
      </c>
      <c r="B410" s="1">
        <v>51</v>
      </c>
      <c r="C410" s="1">
        <v>3241</v>
      </c>
      <c r="D410" s="2">
        <v>22926.220033299</v>
      </c>
    </row>
    <row r="411" spans="1:4" x14ac:dyDescent="0.2">
      <c r="A411" s="1" t="s">
        <v>46</v>
      </c>
      <c r="B411" s="1">
        <v>52</v>
      </c>
      <c r="C411" s="1">
        <v>18269</v>
      </c>
      <c r="D411" s="2">
        <v>14451.5315831067</v>
      </c>
    </row>
    <row r="412" spans="1:4" x14ac:dyDescent="0.2">
      <c r="A412" s="1" t="s">
        <v>46</v>
      </c>
      <c r="B412" s="1">
        <v>55</v>
      </c>
      <c r="C412" s="1">
        <v>4356</v>
      </c>
      <c r="D412" s="2">
        <v>9987.5480161048836</v>
      </c>
    </row>
    <row r="413" spans="1:4" x14ac:dyDescent="0.2">
      <c r="A413" s="1" t="s">
        <v>46</v>
      </c>
      <c r="B413" s="1">
        <v>56</v>
      </c>
      <c r="C413" s="1">
        <v>70340</v>
      </c>
      <c r="D413" s="2">
        <v>4683.0720571720285</v>
      </c>
    </row>
    <row r="414" spans="1:4" x14ac:dyDescent="0.2">
      <c r="A414" s="1" t="s">
        <v>46</v>
      </c>
      <c r="B414" s="1">
        <v>58</v>
      </c>
      <c r="C414" s="1">
        <v>2024</v>
      </c>
      <c r="D414" s="2">
        <v>13800.554552245349</v>
      </c>
    </row>
    <row r="415" spans="1:4" x14ac:dyDescent="0.2">
      <c r="A415" s="1" t="s">
        <v>46</v>
      </c>
      <c r="B415" s="1">
        <v>59</v>
      </c>
      <c r="C415" s="1">
        <v>1943</v>
      </c>
      <c r="D415" s="2">
        <v>9200.2394458518011</v>
      </c>
    </row>
    <row r="416" spans="1:4" x14ac:dyDescent="0.2">
      <c r="A416" s="1" t="s">
        <v>46</v>
      </c>
      <c r="B416" s="1">
        <v>60</v>
      </c>
      <c r="C416" s="1">
        <v>1023</v>
      </c>
      <c r="D416" s="2">
        <v>16892.97335839193</v>
      </c>
    </row>
    <row r="417" spans="1:4" x14ac:dyDescent="0.2">
      <c r="A417" s="1" t="s">
        <v>46</v>
      </c>
      <c r="B417" s="1">
        <v>61</v>
      </c>
      <c r="C417" s="1">
        <v>7255</v>
      </c>
      <c r="D417" s="2">
        <v>18694.747541651595</v>
      </c>
    </row>
    <row r="418" spans="1:4" x14ac:dyDescent="0.2">
      <c r="A418" s="1" t="s">
        <v>46</v>
      </c>
      <c r="B418" s="1">
        <v>62</v>
      </c>
      <c r="C418" s="1">
        <v>75668</v>
      </c>
      <c r="D418" s="2">
        <v>31268.473579313177</v>
      </c>
    </row>
    <row r="419" spans="1:4" x14ac:dyDescent="0.2">
      <c r="A419" s="1" t="s">
        <v>46</v>
      </c>
      <c r="B419" s="1">
        <v>63</v>
      </c>
      <c r="C419" s="1">
        <v>2411</v>
      </c>
      <c r="D419" s="2">
        <v>27403.132025325274</v>
      </c>
    </row>
    <row r="420" spans="1:4" x14ac:dyDescent="0.2">
      <c r="A420" s="1" t="s">
        <v>46</v>
      </c>
      <c r="B420" s="1">
        <v>64</v>
      </c>
      <c r="C420" s="1">
        <v>44948</v>
      </c>
      <c r="D420" s="2">
        <v>22398.884131456281</v>
      </c>
    </row>
    <row r="421" spans="1:4" x14ac:dyDescent="0.2">
      <c r="A421" s="1" t="s">
        <v>46</v>
      </c>
      <c r="B421" s="1">
        <v>68</v>
      </c>
      <c r="C421" s="1">
        <v>9854</v>
      </c>
      <c r="D421" s="2">
        <v>15996.55524902031</v>
      </c>
    </row>
    <row r="422" spans="1:4" x14ac:dyDescent="0.2">
      <c r="A422" s="1" t="s">
        <v>46</v>
      </c>
      <c r="B422" s="1">
        <v>69</v>
      </c>
      <c r="C422" s="1">
        <v>21202</v>
      </c>
      <c r="D422" s="2">
        <v>14100.260636770776</v>
      </c>
    </row>
    <row r="423" spans="1:4" x14ac:dyDescent="0.2">
      <c r="A423" s="1" t="s">
        <v>46</v>
      </c>
      <c r="B423" s="1">
        <v>70</v>
      </c>
      <c r="C423" s="1">
        <v>14238</v>
      </c>
      <c r="D423" s="2">
        <v>17417.226530908712</v>
      </c>
    </row>
    <row r="424" spans="1:4" x14ac:dyDescent="0.2">
      <c r="A424" s="1" t="s">
        <v>46</v>
      </c>
      <c r="B424" s="1">
        <v>71</v>
      </c>
      <c r="C424" s="1">
        <v>16286</v>
      </c>
      <c r="D424" s="2">
        <v>16526.466529638616</v>
      </c>
    </row>
    <row r="425" spans="1:4" x14ac:dyDescent="0.2">
      <c r="A425" s="1" t="s">
        <v>46</v>
      </c>
      <c r="B425" s="1">
        <v>72</v>
      </c>
      <c r="C425" s="1">
        <v>17727</v>
      </c>
      <c r="D425" s="2">
        <v>31341.053613651697</v>
      </c>
    </row>
    <row r="426" spans="1:4" x14ac:dyDescent="0.2">
      <c r="A426" s="1" t="s">
        <v>46</v>
      </c>
      <c r="B426" s="1">
        <v>73</v>
      </c>
      <c r="C426" s="1">
        <v>7526</v>
      </c>
      <c r="D426" s="2">
        <v>12875.080464620181</v>
      </c>
    </row>
    <row r="427" spans="1:4" x14ac:dyDescent="0.2">
      <c r="A427" s="1" t="s">
        <v>46</v>
      </c>
      <c r="B427" s="1">
        <v>74</v>
      </c>
      <c r="C427" s="1">
        <v>5178</v>
      </c>
      <c r="D427" s="2">
        <v>12325.034583857958</v>
      </c>
    </row>
    <row r="428" spans="1:4" x14ac:dyDescent="0.2">
      <c r="A428" s="1" t="s">
        <v>46</v>
      </c>
      <c r="B428" s="1">
        <v>75</v>
      </c>
      <c r="C428" s="1">
        <v>1086</v>
      </c>
      <c r="D428" s="2">
        <v>9838.1624393102338</v>
      </c>
    </row>
    <row r="429" spans="1:4" x14ac:dyDescent="0.2">
      <c r="A429" s="1" t="s">
        <v>46</v>
      </c>
      <c r="B429" s="1">
        <v>77</v>
      </c>
      <c r="C429" s="1">
        <v>4962</v>
      </c>
      <c r="D429" s="2">
        <v>12455.142891429408</v>
      </c>
    </row>
    <row r="430" spans="1:4" x14ac:dyDescent="0.2">
      <c r="A430" s="1" t="s">
        <v>46</v>
      </c>
      <c r="B430" s="1">
        <v>78</v>
      </c>
      <c r="C430" s="1">
        <v>15641</v>
      </c>
      <c r="D430" s="2">
        <v>6513.8398440620267</v>
      </c>
    </row>
    <row r="431" spans="1:4" x14ac:dyDescent="0.2">
      <c r="A431" s="1" t="s">
        <v>46</v>
      </c>
      <c r="B431" s="1">
        <v>79</v>
      </c>
      <c r="C431" s="1">
        <v>3447</v>
      </c>
      <c r="D431" s="2">
        <v>12574.608901826507</v>
      </c>
    </row>
    <row r="432" spans="1:4" x14ac:dyDescent="0.2">
      <c r="A432" s="1" t="s">
        <v>46</v>
      </c>
      <c r="B432" s="1">
        <v>80</v>
      </c>
      <c r="C432" s="1">
        <v>12421</v>
      </c>
      <c r="D432" s="2">
        <v>8014.7265337132467</v>
      </c>
    </row>
    <row r="433" spans="1:4" x14ac:dyDescent="0.2">
      <c r="A433" s="1" t="s">
        <v>46</v>
      </c>
      <c r="B433" s="1">
        <v>81</v>
      </c>
      <c r="C433" s="1">
        <v>23789</v>
      </c>
      <c r="D433" s="2">
        <v>7262.3319710029637</v>
      </c>
    </row>
    <row r="434" spans="1:4" x14ac:dyDescent="0.2">
      <c r="A434" s="1" t="s">
        <v>46</v>
      </c>
      <c r="B434" s="1">
        <v>82</v>
      </c>
      <c r="C434" s="1">
        <v>10355</v>
      </c>
      <c r="D434" s="2">
        <v>9740.1376446781014</v>
      </c>
    </row>
    <row r="435" spans="1:4" x14ac:dyDescent="0.2">
      <c r="A435" s="1" t="s">
        <v>46</v>
      </c>
      <c r="B435" s="1">
        <v>83</v>
      </c>
      <c r="C435" s="1">
        <v>54556</v>
      </c>
      <c r="D435" s="2">
        <v>10650.582745927084</v>
      </c>
    </row>
    <row r="436" spans="1:4" x14ac:dyDescent="0.2">
      <c r="A436" s="1" t="s">
        <v>46</v>
      </c>
      <c r="B436" s="1">
        <v>84</v>
      </c>
      <c r="C436" s="1">
        <v>20257</v>
      </c>
      <c r="D436" s="2">
        <v>18853.807853480303</v>
      </c>
    </row>
    <row r="437" spans="1:4" x14ac:dyDescent="0.2">
      <c r="A437" s="1" t="s">
        <v>46</v>
      </c>
      <c r="B437" s="1">
        <v>85</v>
      </c>
      <c r="C437" s="1">
        <v>92742</v>
      </c>
      <c r="D437" s="2">
        <v>11072.180287357725</v>
      </c>
    </row>
    <row r="438" spans="1:4" x14ac:dyDescent="0.2">
      <c r="A438" s="1" t="s">
        <v>46</v>
      </c>
      <c r="B438" s="1">
        <v>86</v>
      </c>
      <c r="C438" s="1">
        <v>48855</v>
      </c>
      <c r="D438" s="2">
        <v>16131.596044344107</v>
      </c>
    </row>
    <row r="439" spans="1:4" x14ac:dyDescent="0.2">
      <c r="A439" s="1" t="s">
        <v>46</v>
      </c>
      <c r="B439" s="1">
        <v>87</v>
      </c>
      <c r="C439" s="1">
        <v>9615</v>
      </c>
      <c r="D439" s="2">
        <v>8992.4351570455328</v>
      </c>
    </row>
    <row r="440" spans="1:4" x14ac:dyDescent="0.2">
      <c r="A440" s="1" t="s">
        <v>46</v>
      </c>
      <c r="B440" s="1">
        <v>88</v>
      </c>
      <c r="C440" s="1">
        <v>57118</v>
      </c>
      <c r="D440" s="2">
        <v>4746.1957206833249</v>
      </c>
    </row>
    <row r="441" spans="1:4" x14ac:dyDescent="0.2">
      <c r="A441" s="1" t="s">
        <v>46</v>
      </c>
      <c r="B441" s="1">
        <v>90</v>
      </c>
      <c r="C441" s="1">
        <v>3519</v>
      </c>
      <c r="D441" s="2">
        <v>7672.4807447470248</v>
      </c>
    </row>
    <row r="442" spans="1:4" x14ac:dyDescent="0.2">
      <c r="A442" s="1" t="s">
        <v>46</v>
      </c>
      <c r="B442" s="1">
        <v>91</v>
      </c>
      <c r="C442" s="1">
        <v>1215</v>
      </c>
      <c r="D442" s="2">
        <v>11181.917632705661</v>
      </c>
    </row>
    <row r="443" spans="1:4" x14ac:dyDescent="0.2">
      <c r="A443" s="1" t="s">
        <v>46</v>
      </c>
      <c r="B443" s="1">
        <v>92</v>
      </c>
      <c r="C443" s="1">
        <v>429</v>
      </c>
      <c r="D443" s="2">
        <v>20349.560149446534</v>
      </c>
    </row>
    <row r="444" spans="1:4" x14ac:dyDescent="0.2">
      <c r="A444" s="1" t="s">
        <v>46</v>
      </c>
      <c r="B444" s="1">
        <v>93</v>
      </c>
      <c r="C444" s="1">
        <v>17758</v>
      </c>
      <c r="D444" s="2">
        <v>5717.9827429504576</v>
      </c>
    </row>
    <row r="445" spans="1:4" x14ac:dyDescent="0.2">
      <c r="A445" s="1" t="s">
        <v>46</v>
      </c>
      <c r="B445" s="1">
        <v>94</v>
      </c>
      <c r="C445" s="1">
        <v>22221</v>
      </c>
      <c r="D445" s="2">
        <v>7120.2384235499858</v>
      </c>
    </row>
    <row r="446" spans="1:4" x14ac:dyDescent="0.2">
      <c r="A446" s="1" t="s">
        <v>46</v>
      </c>
      <c r="B446" s="1">
        <v>95</v>
      </c>
      <c r="C446" s="1">
        <v>2204</v>
      </c>
      <c r="D446" s="2">
        <v>10744.689926193498</v>
      </c>
    </row>
    <row r="447" spans="1:4" x14ac:dyDescent="0.2">
      <c r="A447" s="1" t="s">
        <v>46</v>
      </c>
      <c r="B447" s="1">
        <v>96</v>
      </c>
      <c r="C447" s="1">
        <v>5581</v>
      </c>
      <c r="D447" s="2">
        <v>7196.9465492847994</v>
      </c>
    </row>
    <row r="448" spans="1:4" x14ac:dyDescent="0.2">
      <c r="A448" s="1" t="s">
        <v>46</v>
      </c>
      <c r="B448" s="1">
        <v>99</v>
      </c>
      <c r="C448" s="1">
        <v>383</v>
      </c>
      <c r="D448" s="2">
        <v>19083.975593212996</v>
      </c>
    </row>
    <row r="449" spans="1:4" x14ac:dyDescent="0.2">
      <c r="A449" s="1" t="s">
        <v>47</v>
      </c>
      <c r="B449" s="1">
        <v>1</v>
      </c>
      <c r="C449" s="1">
        <v>4373</v>
      </c>
      <c r="D449" s="2">
        <v>7566.119968246051</v>
      </c>
    </row>
    <row r="450" spans="1:4" x14ac:dyDescent="0.2">
      <c r="A450" s="1" t="s">
        <v>47</v>
      </c>
      <c r="B450" s="1">
        <v>2</v>
      </c>
      <c r="C450" s="1">
        <v>65</v>
      </c>
      <c r="D450" s="2">
        <v>19156.814790764791</v>
      </c>
    </row>
    <row r="451" spans="1:4" x14ac:dyDescent="0.2">
      <c r="A451" s="1" t="s">
        <v>47</v>
      </c>
      <c r="B451" s="1">
        <v>3</v>
      </c>
      <c r="C451" s="1">
        <v>70</v>
      </c>
      <c r="D451" s="2">
        <v>9999.7938595135056</v>
      </c>
    </row>
    <row r="452" spans="1:4" x14ac:dyDescent="0.2">
      <c r="A452" s="1" t="s">
        <v>47</v>
      </c>
      <c r="B452" s="1">
        <v>4</v>
      </c>
      <c r="C452" s="1">
        <v>532</v>
      </c>
      <c r="D452" s="2">
        <v>9368.9605985336675</v>
      </c>
    </row>
    <row r="453" spans="1:4" x14ac:dyDescent="0.2">
      <c r="A453" s="1" t="s">
        <v>47</v>
      </c>
      <c r="B453" s="1">
        <v>8</v>
      </c>
      <c r="C453" s="1">
        <v>126</v>
      </c>
      <c r="D453" s="2">
        <v>17257.585726883346</v>
      </c>
    </row>
    <row r="454" spans="1:4" x14ac:dyDescent="0.2">
      <c r="A454" s="1" t="s">
        <v>47</v>
      </c>
      <c r="B454" s="1">
        <v>10</v>
      </c>
      <c r="C454" s="1">
        <v>1837</v>
      </c>
      <c r="D454" s="2">
        <v>10134.049227361878</v>
      </c>
    </row>
    <row r="455" spans="1:4" x14ac:dyDescent="0.2">
      <c r="A455" s="1" t="s">
        <v>47</v>
      </c>
      <c r="B455" s="1">
        <v>11</v>
      </c>
      <c r="C455" s="1">
        <v>739</v>
      </c>
      <c r="D455" s="2">
        <v>10475.07121119371</v>
      </c>
    </row>
    <row r="456" spans="1:4" x14ac:dyDescent="0.2">
      <c r="A456" s="1" t="s">
        <v>47</v>
      </c>
      <c r="B456" s="1">
        <v>13</v>
      </c>
      <c r="C456" s="1">
        <v>469</v>
      </c>
      <c r="D456" s="2">
        <v>11355.869977878079</v>
      </c>
    </row>
    <row r="457" spans="1:4" x14ac:dyDescent="0.2">
      <c r="A457" s="1" t="s">
        <v>47</v>
      </c>
      <c r="B457" s="1">
        <v>16</v>
      </c>
      <c r="C457" s="1">
        <v>338</v>
      </c>
      <c r="D457" s="2">
        <v>11770.652783647973</v>
      </c>
    </row>
    <row r="458" spans="1:4" x14ac:dyDescent="0.2">
      <c r="A458" s="1" t="s">
        <v>47</v>
      </c>
      <c r="B458" s="1">
        <v>18</v>
      </c>
      <c r="C458" s="1">
        <v>65</v>
      </c>
      <c r="D458" s="2">
        <v>8678.8008247308244</v>
      </c>
    </row>
    <row r="459" spans="1:4" x14ac:dyDescent="0.2">
      <c r="A459" s="1" t="s">
        <v>47</v>
      </c>
      <c r="B459" s="1">
        <v>20</v>
      </c>
      <c r="C459" s="1">
        <v>521</v>
      </c>
      <c r="D459" s="2">
        <v>12370.92574144239</v>
      </c>
    </row>
    <row r="460" spans="1:4" x14ac:dyDescent="0.2">
      <c r="A460" s="1" t="s">
        <v>47</v>
      </c>
      <c r="B460" s="1">
        <v>21</v>
      </c>
      <c r="C460" s="1">
        <v>84</v>
      </c>
      <c r="D460" s="2">
        <v>10496.366482426305</v>
      </c>
    </row>
    <row r="461" spans="1:4" x14ac:dyDescent="0.2">
      <c r="A461" s="1" t="s">
        <v>47</v>
      </c>
      <c r="B461" s="1">
        <v>22</v>
      </c>
      <c r="C461" s="1">
        <v>1124</v>
      </c>
      <c r="D461" s="2">
        <v>11943.218943502132</v>
      </c>
    </row>
    <row r="462" spans="1:4" x14ac:dyDescent="0.2">
      <c r="A462" s="1" t="s">
        <v>47</v>
      </c>
      <c r="B462" s="1">
        <v>23</v>
      </c>
      <c r="C462" s="1">
        <v>829</v>
      </c>
      <c r="D462" s="2">
        <v>12913.541068012562</v>
      </c>
    </row>
    <row r="463" spans="1:4" x14ac:dyDescent="0.2">
      <c r="A463" s="1" t="s">
        <v>47</v>
      </c>
      <c r="B463" s="1">
        <v>26</v>
      </c>
      <c r="C463" s="1">
        <v>1059</v>
      </c>
      <c r="D463" s="2">
        <v>15812.634174709458</v>
      </c>
    </row>
    <row r="464" spans="1:4" x14ac:dyDescent="0.2">
      <c r="A464" s="1" t="s">
        <v>47</v>
      </c>
      <c r="B464" s="1">
        <v>27</v>
      </c>
      <c r="C464" s="1">
        <v>1147</v>
      </c>
      <c r="D464" s="2">
        <v>12683.657305839548</v>
      </c>
    </row>
    <row r="465" spans="1:4" x14ac:dyDescent="0.2">
      <c r="A465" s="1" t="s">
        <v>47</v>
      </c>
      <c r="B465" s="1">
        <v>29</v>
      </c>
      <c r="C465" s="1">
        <v>274</v>
      </c>
      <c r="D465" s="2">
        <v>16446.929971376961</v>
      </c>
    </row>
    <row r="466" spans="1:4" x14ac:dyDescent="0.2">
      <c r="A466" s="1" t="s">
        <v>47</v>
      </c>
      <c r="B466" s="1">
        <v>31</v>
      </c>
      <c r="C466" s="1">
        <v>215</v>
      </c>
      <c r="D466" s="2">
        <v>9162.4208496929441</v>
      </c>
    </row>
    <row r="467" spans="1:4" x14ac:dyDescent="0.2">
      <c r="A467" s="1" t="s">
        <v>47</v>
      </c>
      <c r="B467" s="1">
        <v>32</v>
      </c>
      <c r="C467" s="1">
        <v>1045</v>
      </c>
      <c r="D467" s="2">
        <v>13221.555174368435</v>
      </c>
    </row>
    <row r="468" spans="1:4" x14ac:dyDescent="0.2">
      <c r="A468" s="1" t="s">
        <v>47</v>
      </c>
      <c r="B468" s="1">
        <v>33</v>
      </c>
      <c r="C468" s="1">
        <v>116</v>
      </c>
      <c r="D468" s="2">
        <v>11743.230209421808</v>
      </c>
    </row>
    <row r="469" spans="1:4" x14ac:dyDescent="0.2">
      <c r="A469" s="1" t="s">
        <v>47</v>
      </c>
      <c r="B469" s="1">
        <v>35</v>
      </c>
      <c r="C469" s="1">
        <v>114</v>
      </c>
      <c r="D469" s="2">
        <v>22344.183437761072</v>
      </c>
    </row>
    <row r="470" spans="1:4" x14ac:dyDescent="0.2">
      <c r="A470" s="1" t="s">
        <v>47</v>
      </c>
      <c r="B470" s="1">
        <v>36</v>
      </c>
      <c r="C470" s="1">
        <v>222</v>
      </c>
      <c r="D470" s="2">
        <v>18808.091907816917</v>
      </c>
    </row>
    <row r="471" spans="1:4" x14ac:dyDescent="0.2">
      <c r="A471" s="1" t="s">
        <v>47</v>
      </c>
      <c r="B471" s="1">
        <v>37</v>
      </c>
      <c r="C471" s="1">
        <v>85</v>
      </c>
      <c r="D471" s="2">
        <v>14078.352126305068</v>
      </c>
    </row>
    <row r="472" spans="1:4" x14ac:dyDescent="0.2">
      <c r="A472" s="1" t="s">
        <v>47</v>
      </c>
      <c r="B472" s="1">
        <v>38</v>
      </c>
      <c r="C472" s="1">
        <v>169</v>
      </c>
      <c r="D472" s="2">
        <v>10651.922333008875</v>
      </c>
    </row>
    <row r="473" spans="1:4" x14ac:dyDescent="0.2">
      <c r="A473" s="1" t="s">
        <v>47</v>
      </c>
      <c r="B473" s="1">
        <v>41</v>
      </c>
      <c r="C473" s="1">
        <v>1660</v>
      </c>
      <c r="D473" s="2">
        <v>8555.7874295232978</v>
      </c>
    </row>
    <row r="474" spans="1:4" x14ac:dyDescent="0.2">
      <c r="A474" s="1" t="s">
        <v>47</v>
      </c>
      <c r="B474" s="1">
        <v>42</v>
      </c>
      <c r="C474" s="1">
        <v>907</v>
      </c>
      <c r="D474" s="2">
        <v>9815.4725958195795</v>
      </c>
    </row>
    <row r="475" spans="1:4" x14ac:dyDescent="0.2">
      <c r="A475" s="1" t="s">
        <v>47</v>
      </c>
      <c r="B475" s="1">
        <v>43</v>
      </c>
      <c r="C475" s="1">
        <v>1839</v>
      </c>
      <c r="D475" s="2">
        <v>8026.1716486703463</v>
      </c>
    </row>
    <row r="476" spans="1:4" x14ac:dyDescent="0.2">
      <c r="A476" s="1" t="s">
        <v>47</v>
      </c>
      <c r="B476" s="1">
        <v>45</v>
      </c>
      <c r="C476" s="1">
        <v>839</v>
      </c>
      <c r="D476" s="2">
        <v>10817.640324064743</v>
      </c>
    </row>
    <row r="477" spans="1:4" x14ac:dyDescent="0.2">
      <c r="A477" s="1" t="s">
        <v>47</v>
      </c>
      <c r="B477" s="1">
        <v>46</v>
      </c>
      <c r="C477" s="1">
        <v>2042</v>
      </c>
      <c r="D477" s="2">
        <v>10795.723416479059</v>
      </c>
    </row>
    <row r="478" spans="1:4" x14ac:dyDescent="0.2">
      <c r="A478" s="1" t="s">
        <v>47</v>
      </c>
      <c r="B478" s="1">
        <v>47</v>
      </c>
      <c r="C478" s="1">
        <v>5766</v>
      </c>
      <c r="D478" s="2">
        <v>6409.9565982780214</v>
      </c>
    </row>
    <row r="479" spans="1:4" x14ac:dyDescent="0.2">
      <c r="A479" s="1" t="s">
        <v>47</v>
      </c>
      <c r="B479" s="1">
        <v>49</v>
      </c>
      <c r="C479" s="1">
        <v>1846</v>
      </c>
      <c r="D479" s="2">
        <v>9629.856907900401</v>
      </c>
    </row>
    <row r="480" spans="1:4" x14ac:dyDescent="0.2">
      <c r="A480" s="1" t="s">
        <v>47</v>
      </c>
      <c r="B480" s="1">
        <v>51</v>
      </c>
      <c r="C480" s="1">
        <v>32</v>
      </c>
      <c r="D480" s="2">
        <v>23517.84490327381</v>
      </c>
    </row>
    <row r="481" spans="1:4" x14ac:dyDescent="0.2">
      <c r="A481" s="1" t="s">
        <v>47</v>
      </c>
      <c r="B481" s="1">
        <v>52</v>
      </c>
      <c r="C481" s="1">
        <v>504</v>
      </c>
      <c r="D481" s="2">
        <v>10724.334420165389</v>
      </c>
    </row>
    <row r="482" spans="1:4" x14ac:dyDescent="0.2">
      <c r="A482" s="1" t="s">
        <v>47</v>
      </c>
      <c r="B482" s="1">
        <v>55</v>
      </c>
      <c r="C482" s="1">
        <v>2663</v>
      </c>
      <c r="D482" s="2">
        <v>6945.9067467903569</v>
      </c>
    </row>
    <row r="483" spans="1:4" x14ac:dyDescent="0.2">
      <c r="A483" s="1" t="s">
        <v>47</v>
      </c>
      <c r="B483" s="1">
        <v>56</v>
      </c>
      <c r="C483" s="1">
        <v>5147</v>
      </c>
      <c r="D483" s="2">
        <v>4962.4121409563177</v>
      </c>
    </row>
    <row r="484" spans="1:4" x14ac:dyDescent="0.2">
      <c r="A484" s="1" t="s">
        <v>47</v>
      </c>
      <c r="B484" s="1">
        <v>58</v>
      </c>
      <c r="C484" s="1">
        <v>72</v>
      </c>
      <c r="D484" s="2">
        <v>9934.2201955066521</v>
      </c>
    </row>
    <row r="485" spans="1:4" x14ac:dyDescent="0.2">
      <c r="A485" s="1" t="s">
        <v>47</v>
      </c>
      <c r="B485" s="1">
        <v>59</v>
      </c>
      <c r="C485" s="1">
        <v>57</v>
      </c>
      <c r="D485" s="2">
        <v>17857.190616693249</v>
      </c>
    </row>
    <row r="486" spans="1:4" x14ac:dyDescent="0.2">
      <c r="A486" s="1" t="s">
        <v>47</v>
      </c>
      <c r="B486" s="1">
        <v>60</v>
      </c>
      <c r="C486" s="1">
        <v>29</v>
      </c>
      <c r="D486" s="2">
        <v>13550.582375478927</v>
      </c>
    </row>
    <row r="487" spans="1:4" x14ac:dyDescent="0.2">
      <c r="A487" s="1" t="s">
        <v>47</v>
      </c>
      <c r="B487" s="1">
        <v>61</v>
      </c>
      <c r="C487" s="1">
        <v>301</v>
      </c>
      <c r="D487" s="2">
        <v>11042.447717924384</v>
      </c>
    </row>
    <row r="488" spans="1:4" x14ac:dyDescent="0.2">
      <c r="A488" s="1" t="s">
        <v>47</v>
      </c>
      <c r="B488" s="1">
        <v>62</v>
      </c>
      <c r="C488" s="1">
        <v>1600</v>
      </c>
      <c r="D488" s="2">
        <v>21032.349909857494</v>
      </c>
    </row>
    <row r="489" spans="1:4" x14ac:dyDescent="0.2">
      <c r="A489" s="1" t="s">
        <v>47</v>
      </c>
      <c r="B489" s="1">
        <v>63</v>
      </c>
      <c r="C489" s="1">
        <v>12</v>
      </c>
      <c r="D489" s="2">
        <v>13005.327020202019</v>
      </c>
    </row>
    <row r="490" spans="1:4" x14ac:dyDescent="0.2">
      <c r="A490" s="1" t="s">
        <v>47</v>
      </c>
      <c r="B490" s="1">
        <v>64</v>
      </c>
      <c r="C490" s="1">
        <v>1018</v>
      </c>
      <c r="D490" s="2">
        <v>14380.111017982228</v>
      </c>
    </row>
    <row r="491" spans="1:4" x14ac:dyDescent="0.2">
      <c r="A491" s="1" t="s">
        <v>47</v>
      </c>
      <c r="B491" s="1">
        <v>68</v>
      </c>
      <c r="C491" s="1">
        <v>416</v>
      </c>
      <c r="D491" s="2">
        <v>11414.499252657064</v>
      </c>
    </row>
    <row r="492" spans="1:4" x14ac:dyDescent="0.2">
      <c r="A492" s="1" t="s">
        <v>47</v>
      </c>
      <c r="B492" s="1">
        <v>69</v>
      </c>
      <c r="C492" s="1">
        <v>834</v>
      </c>
      <c r="D492" s="2">
        <v>9276.2008074925288</v>
      </c>
    </row>
    <row r="493" spans="1:4" x14ac:dyDescent="0.2">
      <c r="A493" s="1" t="s">
        <v>47</v>
      </c>
      <c r="B493" s="1">
        <v>70</v>
      </c>
      <c r="C493" s="1">
        <v>979</v>
      </c>
      <c r="D493" s="2">
        <v>10210.550921663753</v>
      </c>
    </row>
    <row r="494" spans="1:4" x14ac:dyDescent="0.2">
      <c r="A494" s="1" t="s">
        <v>47</v>
      </c>
      <c r="B494" s="1">
        <v>71</v>
      </c>
      <c r="C494" s="1">
        <v>1029</v>
      </c>
      <c r="D494" s="2">
        <v>11457.485752429197</v>
      </c>
    </row>
    <row r="495" spans="1:4" x14ac:dyDescent="0.2">
      <c r="A495" s="1" t="s">
        <v>47</v>
      </c>
      <c r="B495" s="1">
        <v>72</v>
      </c>
      <c r="C495" s="1">
        <v>755</v>
      </c>
      <c r="D495" s="2">
        <v>17924.617718910951</v>
      </c>
    </row>
    <row r="496" spans="1:4" x14ac:dyDescent="0.2">
      <c r="A496" s="1" t="s">
        <v>47</v>
      </c>
      <c r="B496" s="1">
        <v>73</v>
      </c>
      <c r="C496" s="1">
        <v>455</v>
      </c>
      <c r="D496" s="2">
        <v>7439.8619519369486</v>
      </c>
    </row>
    <row r="497" spans="1:4" x14ac:dyDescent="0.2">
      <c r="A497" s="1" t="s">
        <v>47</v>
      </c>
      <c r="B497" s="1">
        <v>74</v>
      </c>
      <c r="C497" s="1">
        <v>223</v>
      </c>
      <c r="D497" s="2">
        <v>9796.2518225172917</v>
      </c>
    </row>
    <row r="498" spans="1:4" x14ac:dyDescent="0.2">
      <c r="A498" s="1" t="s">
        <v>47</v>
      </c>
      <c r="B498" s="1">
        <v>75</v>
      </c>
      <c r="C498" s="1">
        <v>84</v>
      </c>
      <c r="D498" s="2">
        <v>9310.4667826221394</v>
      </c>
    </row>
    <row r="499" spans="1:4" x14ac:dyDescent="0.2">
      <c r="A499" s="1" t="s">
        <v>47</v>
      </c>
      <c r="B499" s="1">
        <v>77</v>
      </c>
      <c r="C499" s="1">
        <v>171</v>
      </c>
      <c r="D499" s="2">
        <v>8212.758817709253</v>
      </c>
    </row>
    <row r="500" spans="1:4" x14ac:dyDescent="0.2">
      <c r="A500" s="1" t="s">
        <v>47</v>
      </c>
      <c r="B500" s="1">
        <v>78</v>
      </c>
      <c r="C500" s="1">
        <v>1118</v>
      </c>
      <c r="D500" s="2">
        <v>4944.2296029874542</v>
      </c>
    </row>
    <row r="501" spans="1:4" x14ac:dyDescent="0.2">
      <c r="A501" s="1" t="s">
        <v>47</v>
      </c>
      <c r="B501" s="1">
        <v>79</v>
      </c>
      <c r="C501" s="1">
        <v>355</v>
      </c>
      <c r="D501" s="2">
        <v>8058.7562315305995</v>
      </c>
    </row>
    <row r="502" spans="1:4" x14ac:dyDescent="0.2">
      <c r="A502" s="1" t="s">
        <v>47</v>
      </c>
      <c r="B502" s="1">
        <v>80</v>
      </c>
      <c r="C502" s="1">
        <v>792</v>
      </c>
      <c r="D502" s="2">
        <v>7290.7894436792149</v>
      </c>
    </row>
    <row r="503" spans="1:4" x14ac:dyDescent="0.2">
      <c r="A503" s="1" t="s">
        <v>47</v>
      </c>
      <c r="B503" s="1">
        <v>81</v>
      </c>
      <c r="C503" s="1">
        <v>1450</v>
      </c>
      <c r="D503" s="2">
        <v>5631.1021904015488</v>
      </c>
    </row>
    <row r="504" spans="1:4" x14ac:dyDescent="0.2">
      <c r="A504" s="1" t="s">
        <v>47</v>
      </c>
      <c r="B504" s="1">
        <v>82</v>
      </c>
      <c r="C504" s="1">
        <v>1087</v>
      </c>
      <c r="D504" s="2">
        <v>6479.4067328562223</v>
      </c>
    </row>
    <row r="505" spans="1:4" x14ac:dyDescent="0.2">
      <c r="A505" s="1" t="s">
        <v>47</v>
      </c>
      <c r="B505" s="1">
        <v>83</v>
      </c>
      <c r="C505" s="1">
        <v>4274</v>
      </c>
      <c r="D505" s="2">
        <v>9097.0407759070258</v>
      </c>
    </row>
    <row r="506" spans="1:4" x14ac:dyDescent="0.2">
      <c r="A506" s="1" t="s">
        <v>47</v>
      </c>
      <c r="B506" s="1">
        <v>84</v>
      </c>
      <c r="C506" s="1">
        <v>1811</v>
      </c>
      <c r="D506" s="2">
        <v>17536.836896315865</v>
      </c>
    </row>
    <row r="507" spans="1:4" x14ac:dyDescent="0.2">
      <c r="A507" s="1" t="s">
        <v>47</v>
      </c>
      <c r="B507" s="1">
        <v>85</v>
      </c>
      <c r="C507" s="1">
        <v>10732</v>
      </c>
      <c r="D507" s="2">
        <v>10469.97869227929</v>
      </c>
    </row>
    <row r="508" spans="1:4" x14ac:dyDescent="0.2">
      <c r="A508" s="1" t="s">
        <v>47</v>
      </c>
      <c r="B508" s="1">
        <v>86</v>
      </c>
      <c r="C508" s="1">
        <v>2266</v>
      </c>
      <c r="D508" s="2">
        <v>12917.507832469828</v>
      </c>
    </row>
    <row r="509" spans="1:4" x14ac:dyDescent="0.2">
      <c r="A509" s="1" t="s">
        <v>47</v>
      </c>
      <c r="B509" s="1">
        <v>87</v>
      </c>
      <c r="C509" s="1">
        <v>385</v>
      </c>
      <c r="D509" s="2">
        <v>8539.2175393077323</v>
      </c>
    </row>
    <row r="510" spans="1:4" x14ac:dyDescent="0.2">
      <c r="A510" s="1" t="s">
        <v>47</v>
      </c>
      <c r="B510" s="1">
        <v>88</v>
      </c>
      <c r="C510" s="1">
        <v>4724</v>
      </c>
      <c r="D510" s="2">
        <v>4071.1907024918414</v>
      </c>
    </row>
    <row r="511" spans="1:4" x14ac:dyDescent="0.2">
      <c r="A511" s="1" t="s">
        <v>47</v>
      </c>
      <c r="B511" s="1">
        <v>90</v>
      </c>
      <c r="C511" s="1">
        <v>288</v>
      </c>
      <c r="D511" s="2">
        <v>5284.4174657036638</v>
      </c>
    </row>
    <row r="512" spans="1:4" x14ac:dyDescent="0.2">
      <c r="A512" s="1" t="s">
        <v>47</v>
      </c>
      <c r="B512" s="1">
        <v>91</v>
      </c>
      <c r="C512" s="1">
        <v>405</v>
      </c>
      <c r="D512" s="2">
        <v>10679.693001264854</v>
      </c>
    </row>
    <row r="513" spans="1:4" x14ac:dyDescent="0.2">
      <c r="A513" s="1" t="s">
        <v>47</v>
      </c>
      <c r="B513" s="1">
        <v>92</v>
      </c>
      <c r="C513" s="1">
        <v>12</v>
      </c>
      <c r="D513" s="2">
        <v>5440.356776094276</v>
      </c>
    </row>
    <row r="514" spans="1:4" x14ac:dyDescent="0.2">
      <c r="A514" s="1" t="s">
        <v>47</v>
      </c>
      <c r="B514" s="1">
        <v>93</v>
      </c>
      <c r="C514" s="1">
        <v>1464</v>
      </c>
      <c r="D514" s="2">
        <v>5989.9832384392348</v>
      </c>
    </row>
    <row r="515" spans="1:4" x14ac:dyDescent="0.2">
      <c r="A515" s="1" t="s">
        <v>47</v>
      </c>
      <c r="B515" s="1">
        <v>94</v>
      </c>
      <c r="C515" s="1">
        <v>2450</v>
      </c>
      <c r="D515" s="2">
        <v>6168.0713702771318</v>
      </c>
    </row>
    <row r="516" spans="1:4" x14ac:dyDescent="0.2">
      <c r="A516" s="1" t="s">
        <v>47</v>
      </c>
      <c r="B516" s="1">
        <v>95</v>
      </c>
      <c r="C516" s="1">
        <v>72</v>
      </c>
      <c r="D516" s="2">
        <v>7765.5296130952374</v>
      </c>
    </row>
    <row r="517" spans="1:4" x14ac:dyDescent="0.2">
      <c r="A517" s="1" t="s">
        <v>47</v>
      </c>
      <c r="B517" s="1">
        <v>96</v>
      </c>
      <c r="C517" s="1">
        <v>298</v>
      </c>
      <c r="D517" s="2">
        <v>6094.2406273908782</v>
      </c>
    </row>
    <row r="518" spans="1:4" x14ac:dyDescent="0.2">
      <c r="A518" s="1" t="s">
        <v>47</v>
      </c>
      <c r="B518" s="1">
        <v>99</v>
      </c>
      <c r="C518" s="1">
        <v>13</v>
      </c>
      <c r="D518" s="2">
        <v>13491.191086691086</v>
      </c>
    </row>
    <row r="519" spans="1:4" x14ac:dyDescent="0.2">
      <c r="A519" s="1" t="s">
        <v>48</v>
      </c>
      <c r="B519" s="1">
        <v>1</v>
      </c>
      <c r="C519" s="1">
        <v>1165</v>
      </c>
      <c r="D519" s="2">
        <v>9380.6340376171374</v>
      </c>
    </row>
    <row r="520" spans="1:4" x14ac:dyDescent="0.2">
      <c r="A520" s="1" t="s">
        <v>48</v>
      </c>
      <c r="B520" s="1">
        <v>2</v>
      </c>
      <c r="C520" s="1">
        <v>38</v>
      </c>
      <c r="D520" s="2">
        <v>29469.614035087725</v>
      </c>
    </row>
    <row r="521" spans="1:4" x14ac:dyDescent="0.2">
      <c r="A521" s="1" t="s">
        <v>48</v>
      </c>
      <c r="B521" s="1">
        <v>3</v>
      </c>
      <c r="C521" s="1">
        <v>53</v>
      </c>
      <c r="D521" s="2">
        <v>11655.917110457671</v>
      </c>
    </row>
    <row r="522" spans="1:4" x14ac:dyDescent="0.2">
      <c r="A522" s="1" t="s">
        <v>48</v>
      </c>
      <c r="B522" s="1">
        <v>4</v>
      </c>
      <c r="C522" s="1">
        <v>118</v>
      </c>
      <c r="D522" s="2">
        <v>9723.4312046004852</v>
      </c>
    </row>
    <row r="523" spans="1:4" x14ac:dyDescent="0.2">
      <c r="A523" s="1" t="s">
        <v>48</v>
      </c>
      <c r="B523" s="1">
        <v>6</v>
      </c>
      <c r="C523" s="1">
        <v>117</v>
      </c>
      <c r="D523" s="2">
        <v>45089.62929107932</v>
      </c>
    </row>
    <row r="524" spans="1:4" x14ac:dyDescent="0.2">
      <c r="A524" s="1" t="s">
        <v>48</v>
      </c>
      <c r="B524" s="1">
        <v>8</v>
      </c>
      <c r="C524" s="1">
        <v>78</v>
      </c>
      <c r="D524" s="2">
        <v>23874.133543308551</v>
      </c>
    </row>
    <row r="525" spans="1:4" x14ac:dyDescent="0.2">
      <c r="A525" s="1" t="s">
        <v>48</v>
      </c>
      <c r="B525" s="1">
        <v>9</v>
      </c>
      <c r="C525" s="1">
        <v>27</v>
      </c>
      <c r="D525" s="2">
        <v>36287.542985409651</v>
      </c>
    </row>
    <row r="526" spans="1:4" x14ac:dyDescent="0.2">
      <c r="A526" s="1" t="s">
        <v>48</v>
      </c>
      <c r="B526" s="1">
        <v>10</v>
      </c>
      <c r="C526" s="1">
        <v>6340</v>
      </c>
      <c r="D526" s="2">
        <v>11412.663068784994</v>
      </c>
    </row>
    <row r="527" spans="1:4" x14ac:dyDescent="0.2">
      <c r="A527" s="1" t="s">
        <v>48</v>
      </c>
      <c r="B527" s="1">
        <v>11</v>
      </c>
      <c r="C527" s="1">
        <v>562</v>
      </c>
      <c r="D527" s="2">
        <v>22059.459038529676</v>
      </c>
    </row>
    <row r="528" spans="1:4" x14ac:dyDescent="0.2">
      <c r="A528" s="1" t="s">
        <v>48</v>
      </c>
      <c r="B528" s="1">
        <v>12</v>
      </c>
      <c r="C528" s="1">
        <v>34</v>
      </c>
      <c r="D528" s="2">
        <v>17518.193627450986</v>
      </c>
    </row>
    <row r="529" spans="1:4" x14ac:dyDescent="0.2">
      <c r="A529" s="1" t="s">
        <v>48</v>
      </c>
      <c r="B529" s="1">
        <v>13</v>
      </c>
      <c r="C529" s="1">
        <v>1551</v>
      </c>
      <c r="D529" s="2">
        <v>11436.809267609324</v>
      </c>
    </row>
    <row r="530" spans="1:4" x14ac:dyDescent="0.2">
      <c r="A530" s="1" t="s">
        <v>48</v>
      </c>
      <c r="B530" s="1">
        <v>16</v>
      </c>
      <c r="C530" s="1">
        <v>657</v>
      </c>
      <c r="D530" s="2">
        <v>16051.665002437949</v>
      </c>
    </row>
    <row r="531" spans="1:4" x14ac:dyDescent="0.2">
      <c r="A531" s="1" t="s">
        <v>48</v>
      </c>
      <c r="B531" s="1">
        <v>18</v>
      </c>
      <c r="C531" s="1">
        <v>1679</v>
      </c>
      <c r="D531" s="2">
        <v>11987.568211662267</v>
      </c>
    </row>
    <row r="532" spans="1:4" x14ac:dyDescent="0.2">
      <c r="A532" s="1" t="s">
        <v>48</v>
      </c>
      <c r="B532" s="1">
        <v>19</v>
      </c>
      <c r="C532" s="1">
        <v>45</v>
      </c>
      <c r="D532" s="2">
        <v>30617.713234728235</v>
      </c>
    </row>
    <row r="533" spans="1:4" x14ac:dyDescent="0.2">
      <c r="A533" s="1" t="s">
        <v>48</v>
      </c>
      <c r="B533" s="1">
        <v>20</v>
      </c>
      <c r="C533" s="1">
        <v>1033</v>
      </c>
      <c r="D533" s="2">
        <v>19635.195502389426</v>
      </c>
    </row>
    <row r="534" spans="1:4" x14ac:dyDescent="0.2">
      <c r="A534" s="1" t="s">
        <v>48</v>
      </c>
      <c r="B534" s="1">
        <v>21</v>
      </c>
      <c r="C534" s="1">
        <v>1049</v>
      </c>
      <c r="D534" s="2">
        <v>29393.268412471425</v>
      </c>
    </row>
    <row r="535" spans="1:4" x14ac:dyDescent="0.2">
      <c r="A535" s="1" t="s">
        <v>48</v>
      </c>
      <c r="B535" s="1">
        <v>22</v>
      </c>
      <c r="C535" s="1">
        <v>1065</v>
      </c>
      <c r="D535" s="2">
        <v>17703.590967590055</v>
      </c>
    </row>
    <row r="536" spans="1:4" x14ac:dyDescent="0.2">
      <c r="A536" s="1" t="s">
        <v>48</v>
      </c>
      <c r="B536" s="1">
        <v>23</v>
      </c>
      <c r="C536" s="1">
        <v>4362</v>
      </c>
      <c r="D536" s="2">
        <v>16625.458001007952</v>
      </c>
    </row>
    <row r="537" spans="1:4" x14ac:dyDescent="0.2">
      <c r="A537" s="1" t="s">
        <v>48</v>
      </c>
      <c r="B537" s="1">
        <v>26</v>
      </c>
      <c r="C537" s="1">
        <v>7577</v>
      </c>
      <c r="D537" s="2">
        <v>30748.135398337545</v>
      </c>
    </row>
    <row r="538" spans="1:4" x14ac:dyDescent="0.2">
      <c r="A538" s="1" t="s">
        <v>48</v>
      </c>
      <c r="B538" s="1">
        <v>27</v>
      </c>
      <c r="C538" s="1">
        <v>3538</v>
      </c>
      <c r="D538" s="2">
        <v>22937.018614168021</v>
      </c>
    </row>
    <row r="539" spans="1:4" x14ac:dyDescent="0.2">
      <c r="A539" s="1" t="s">
        <v>48</v>
      </c>
      <c r="B539" s="1">
        <v>29</v>
      </c>
      <c r="C539" s="1">
        <v>2665</v>
      </c>
      <c r="D539" s="2">
        <v>26945.756135707092</v>
      </c>
    </row>
    <row r="540" spans="1:4" x14ac:dyDescent="0.2">
      <c r="A540" s="1" t="s">
        <v>48</v>
      </c>
      <c r="B540" s="1">
        <v>31</v>
      </c>
      <c r="C540" s="1">
        <v>1463</v>
      </c>
      <c r="D540" s="2">
        <v>12071.453239848948</v>
      </c>
    </row>
    <row r="541" spans="1:4" x14ac:dyDescent="0.2">
      <c r="A541" s="1" t="s">
        <v>48</v>
      </c>
      <c r="B541" s="1">
        <v>32</v>
      </c>
      <c r="C541" s="1">
        <v>2186</v>
      </c>
      <c r="D541" s="2">
        <v>16613.065042184327</v>
      </c>
    </row>
    <row r="542" spans="1:4" x14ac:dyDescent="0.2">
      <c r="A542" s="1" t="s">
        <v>48</v>
      </c>
      <c r="B542" s="1">
        <v>33</v>
      </c>
      <c r="C542" s="1">
        <v>479</v>
      </c>
      <c r="D542" s="2">
        <v>16852.306194362365</v>
      </c>
    </row>
    <row r="543" spans="1:4" x14ac:dyDescent="0.2">
      <c r="A543" s="1" t="s">
        <v>48</v>
      </c>
      <c r="B543" s="1">
        <v>34</v>
      </c>
      <c r="C543" s="1">
        <v>570</v>
      </c>
      <c r="D543" s="2">
        <v>12895.779569504573</v>
      </c>
    </row>
    <row r="544" spans="1:4" x14ac:dyDescent="0.2">
      <c r="A544" s="1" t="s">
        <v>48</v>
      </c>
      <c r="B544" s="1">
        <v>35</v>
      </c>
      <c r="C544" s="1">
        <v>1456</v>
      </c>
      <c r="D544" s="2">
        <v>30032.855091758403</v>
      </c>
    </row>
    <row r="545" spans="1:4" x14ac:dyDescent="0.2">
      <c r="A545" s="1" t="s">
        <v>48</v>
      </c>
      <c r="B545" s="1">
        <v>36</v>
      </c>
      <c r="C545" s="1">
        <v>486</v>
      </c>
      <c r="D545" s="2">
        <v>19105.255058595943</v>
      </c>
    </row>
    <row r="546" spans="1:4" x14ac:dyDescent="0.2">
      <c r="A546" s="1" t="s">
        <v>48</v>
      </c>
      <c r="B546" s="1">
        <v>37</v>
      </c>
      <c r="C546" s="1">
        <v>101</v>
      </c>
      <c r="D546" s="2">
        <v>18963.394782692554</v>
      </c>
    </row>
    <row r="547" spans="1:4" x14ac:dyDescent="0.2">
      <c r="A547" s="1" t="s">
        <v>48</v>
      </c>
      <c r="B547" s="1">
        <v>38</v>
      </c>
      <c r="C547" s="1">
        <v>708</v>
      </c>
      <c r="D547" s="2">
        <v>12636.663283154387</v>
      </c>
    </row>
    <row r="548" spans="1:4" x14ac:dyDescent="0.2">
      <c r="A548" s="1" t="s">
        <v>48</v>
      </c>
      <c r="B548" s="1">
        <v>41</v>
      </c>
      <c r="C548" s="1">
        <v>8613</v>
      </c>
      <c r="D548" s="2">
        <v>17004.365999661768</v>
      </c>
    </row>
    <row r="549" spans="1:4" x14ac:dyDescent="0.2">
      <c r="A549" s="1" t="s">
        <v>48</v>
      </c>
      <c r="B549" s="1">
        <v>42</v>
      </c>
      <c r="C549" s="1">
        <v>1986</v>
      </c>
      <c r="D549" s="2">
        <v>19908.880287099888</v>
      </c>
    </row>
    <row r="550" spans="1:4" x14ac:dyDescent="0.2">
      <c r="A550" s="1" t="s">
        <v>48</v>
      </c>
      <c r="B550" s="1">
        <v>43</v>
      </c>
      <c r="C550" s="1">
        <v>10178</v>
      </c>
      <c r="D550" s="2">
        <v>13139.246587672998</v>
      </c>
    </row>
    <row r="551" spans="1:4" x14ac:dyDescent="0.2">
      <c r="A551" s="1" t="s">
        <v>48</v>
      </c>
      <c r="B551" s="1">
        <v>45</v>
      </c>
      <c r="C551" s="1">
        <v>8408</v>
      </c>
      <c r="D551" s="2">
        <v>14359.63056431258</v>
      </c>
    </row>
    <row r="552" spans="1:4" x14ac:dyDescent="0.2">
      <c r="A552" s="1" t="s">
        <v>48</v>
      </c>
      <c r="B552" s="1">
        <v>46</v>
      </c>
      <c r="C552" s="1">
        <v>31941</v>
      </c>
      <c r="D552" s="2">
        <v>16493.911685658593</v>
      </c>
    </row>
    <row r="553" spans="1:4" x14ac:dyDescent="0.2">
      <c r="A553" s="1" t="s">
        <v>48</v>
      </c>
      <c r="B553" s="1">
        <v>47</v>
      </c>
      <c r="C553" s="1">
        <v>51594</v>
      </c>
      <c r="D553" s="2">
        <v>8664.2876903766555</v>
      </c>
    </row>
    <row r="554" spans="1:4" x14ac:dyDescent="0.2">
      <c r="A554" s="1" t="s">
        <v>48</v>
      </c>
      <c r="B554" s="1">
        <v>49</v>
      </c>
      <c r="C554" s="1">
        <v>7420</v>
      </c>
      <c r="D554" s="2">
        <v>11887.693911306958</v>
      </c>
    </row>
    <row r="555" spans="1:4" x14ac:dyDescent="0.2">
      <c r="A555" s="1" t="s">
        <v>48</v>
      </c>
      <c r="B555" s="1">
        <v>50</v>
      </c>
      <c r="C555" s="1">
        <v>52</v>
      </c>
      <c r="D555" s="2">
        <v>55955.505157342661</v>
      </c>
    </row>
    <row r="556" spans="1:4" x14ac:dyDescent="0.2">
      <c r="A556" s="1" t="s">
        <v>48</v>
      </c>
      <c r="B556" s="1">
        <v>51</v>
      </c>
      <c r="C556" s="1">
        <v>1690</v>
      </c>
      <c r="D556" s="2">
        <v>21862.722870975256</v>
      </c>
    </row>
    <row r="557" spans="1:4" x14ac:dyDescent="0.2">
      <c r="A557" s="1" t="s">
        <v>48</v>
      </c>
      <c r="B557" s="1">
        <v>52</v>
      </c>
      <c r="C557" s="1">
        <v>8174</v>
      </c>
      <c r="D557" s="2">
        <v>13780.474829674133</v>
      </c>
    </row>
    <row r="558" spans="1:4" x14ac:dyDescent="0.2">
      <c r="A558" s="1" t="s">
        <v>48</v>
      </c>
      <c r="B558" s="1">
        <v>55</v>
      </c>
      <c r="C558" s="1">
        <v>5198</v>
      </c>
      <c r="D558" s="2">
        <v>11141.678440793636</v>
      </c>
    </row>
    <row r="559" spans="1:4" x14ac:dyDescent="0.2">
      <c r="A559" s="1" t="s">
        <v>48</v>
      </c>
      <c r="B559" s="1">
        <v>56</v>
      </c>
      <c r="C559" s="1">
        <v>46247</v>
      </c>
      <c r="D559" s="2">
        <v>5789.3330337467851</v>
      </c>
    </row>
    <row r="560" spans="1:4" x14ac:dyDescent="0.2">
      <c r="A560" s="1" t="s">
        <v>48</v>
      </c>
      <c r="B560" s="1">
        <v>58</v>
      </c>
      <c r="C560" s="1">
        <v>2403</v>
      </c>
      <c r="D560" s="2">
        <v>14057.445365176089</v>
      </c>
    </row>
    <row r="561" spans="1:4" x14ac:dyDescent="0.2">
      <c r="A561" s="1" t="s">
        <v>48</v>
      </c>
      <c r="B561" s="1">
        <v>59</v>
      </c>
      <c r="C561" s="1">
        <v>2161</v>
      </c>
      <c r="D561" s="2">
        <v>13984.740509243957</v>
      </c>
    </row>
    <row r="562" spans="1:4" x14ac:dyDescent="0.2">
      <c r="A562" s="1" t="s">
        <v>48</v>
      </c>
      <c r="B562" s="1">
        <v>60</v>
      </c>
      <c r="C562" s="1">
        <v>1818</v>
      </c>
      <c r="D562" s="2">
        <v>18330.489288928871</v>
      </c>
    </row>
    <row r="563" spans="1:4" x14ac:dyDescent="0.2">
      <c r="A563" s="1" t="s">
        <v>48</v>
      </c>
      <c r="B563" s="1">
        <v>61</v>
      </c>
      <c r="C563" s="1">
        <v>3165</v>
      </c>
      <c r="D563" s="2">
        <v>19778.083091716038</v>
      </c>
    </row>
    <row r="564" spans="1:4" x14ac:dyDescent="0.2">
      <c r="A564" s="1" t="s">
        <v>48</v>
      </c>
      <c r="B564" s="1">
        <v>62</v>
      </c>
      <c r="C564" s="1">
        <v>76984</v>
      </c>
      <c r="D564" s="2">
        <v>32208.611996993903</v>
      </c>
    </row>
    <row r="565" spans="1:4" x14ac:dyDescent="0.2">
      <c r="A565" s="1" t="s">
        <v>48</v>
      </c>
      <c r="B565" s="1">
        <v>63</v>
      </c>
      <c r="C565" s="1">
        <v>1785</v>
      </c>
      <c r="D565" s="2">
        <v>26648.781090658464</v>
      </c>
    </row>
    <row r="566" spans="1:4" x14ac:dyDescent="0.2">
      <c r="A566" s="1" t="s">
        <v>48</v>
      </c>
      <c r="B566" s="1">
        <v>64</v>
      </c>
      <c r="C566" s="1">
        <v>33796</v>
      </c>
      <c r="D566" s="2">
        <v>24120.993754856849</v>
      </c>
    </row>
    <row r="567" spans="1:4" x14ac:dyDescent="0.2">
      <c r="A567" s="1" t="s">
        <v>48</v>
      </c>
      <c r="B567" s="1">
        <v>68</v>
      </c>
      <c r="C567" s="1">
        <v>8990</v>
      </c>
      <c r="D567" s="2">
        <v>17234.842315258884</v>
      </c>
    </row>
    <row r="568" spans="1:4" x14ac:dyDescent="0.2">
      <c r="A568" s="1" t="s">
        <v>48</v>
      </c>
      <c r="B568" s="1">
        <v>69</v>
      </c>
      <c r="C568" s="1">
        <v>20638</v>
      </c>
      <c r="D568" s="2">
        <v>15327.714046543688</v>
      </c>
    </row>
    <row r="569" spans="1:4" x14ac:dyDescent="0.2">
      <c r="A569" s="1" t="s">
        <v>48</v>
      </c>
      <c r="B569" s="1">
        <v>70</v>
      </c>
      <c r="C569" s="1">
        <v>13607</v>
      </c>
      <c r="D569" s="2">
        <v>19805.573170078165</v>
      </c>
    </row>
    <row r="570" spans="1:4" x14ac:dyDescent="0.2">
      <c r="A570" s="1" t="s">
        <v>48</v>
      </c>
      <c r="B570" s="1">
        <v>71</v>
      </c>
      <c r="C570" s="1">
        <v>10985</v>
      </c>
      <c r="D570" s="2">
        <v>16877.755956528697</v>
      </c>
    </row>
    <row r="571" spans="1:4" x14ac:dyDescent="0.2">
      <c r="A571" s="1" t="s">
        <v>48</v>
      </c>
      <c r="B571" s="1">
        <v>72</v>
      </c>
      <c r="C571" s="1">
        <v>10406</v>
      </c>
      <c r="D571" s="2">
        <v>33413.480890031504</v>
      </c>
    </row>
    <row r="572" spans="1:4" x14ac:dyDescent="0.2">
      <c r="A572" s="1" t="s">
        <v>48</v>
      </c>
      <c r="B572" s="1">
        <v>73</v>
      </c>
      <c r="C572" s="1">
        <v>8486</v>
      </c>
      <c r="D572" s="2">
        <v>15142.058642840713</v>
      </c>
    </row>
    <row r="573" spans="1:4" x14ac:dyDescent="0.2">
      <c r="A573" s="1" t="s">
        <v>48</v>
      </c>
      <c r="B573" s="1">
        <v>74</v>
      </c>
      <c r="C573" s="1">
        <v>4807</v>
      </c>
      <c r="D573" s="2">
        <v>12622.678190798295</v>
      </c>
    </row>
    <row r="574" spans="1:4" x14ac:dyDescent="0.2">
      <c r="A574" s="1" t="s">
        <v>48</v>
      </c>
      <c r="B574" s="1">
        <v>75</v>
      </c>
      <c r="C574" s="1">
        <v>663</v>
      </c>
      <c r="D574" s="2">
        <v>9806.3053634818352</v>
      </c>
    </row>
    <row r="575" spans="1:4" x14ac:dyDescent="0.2">
      <c r="A575" s="1" t="s">
        <v>48</v>
      </c>
      <c r="B575" s="1">
        <v>77</v>
      </c>
      <c r="C575" s="1">
        <v>2129</v>
      </c>
      <c r="D575" s="2">
        <v>12941.401269810773</v>
      </c>
    </row>
    <row r="576" spans="1:4" x14ac:dyDescent="0.2">
      <c r="A576" s="1" t="s">
        <v>48</v>
      </c>
      <c r="B576" s="1">
        <v>78</v>
      </c>
      <c r="C576" s="1">
        <v>8929</v>
      </c>
      <c r="D576" s="2">
        <v>7274.426796596601</v>
      </c>
    </row>
    <row r="577" spans="1:4" x14ac:dyDescent="0.2">
      <c r="A577" s="1" t="s">
        <v>48</v>
      </c>
      <c r="B577" s="1">
        <v>79</v>
      </c>
      <c r="C577" s="1">
        <v>3187</v>
      </c>
      <c r="D577" s="2">
        <v>13260.46686419079</v>
      </c>
    </row>
    <row r="578" spans="1:4" x14ac:dyDescent="0.2">
      <c r="A578" s="1" t="s">
        <v>48</v>
      </c>
      <c r="B578" s="1">
        <v>80</v>
      </c>
      <c r="C578" s="1">
        <v>7024</v>
      </c>
      <c r="D578" s="2">
        <v>7965.0900082627568</v>
      </c>
    </row>
    <row r="579" spans="1:4" x14ac:dyDescent="0.2">
      <c r="A579" s="1" t="s">
        <v>48</v>
      </c>
      <c r="B579" s="1">
        <v>81</v>
      </c>
      <c r="C579" s="1">
        <v>13399</v>
      </c>
      <c r="D579" s="2">
        <v>7532.3092821452974</v>
      </c>
    </row>
    <row r="580" spans="1:4" x14ac:dyDescent="0.2">
      <c r="A580" s="1" t="s">
        <v>48</v>
      </c>
      <c r="B580" s="1">
        <v>82</v>
      </c>
      <c r="C580" s="1">
        <v>6324</v>
      </c>
      <c r="D580" s="2">
        <v>11431.143081094482</v>
      </c>
    </row>
    <row r="581" spans="1:4" x14ac:dyDescent="0.2">
      <c r="A581" s="1" t="s">
        <v>48</v>
      </c>
      <c r="B581" s="1">
        <v>83</v>
      </c>
      <c r="C581" s="1">
        <v>29191</v>
      </c>
      <c r="D581" s="2">
        <v>11947.003608841989</v>
      </c>
    </row>
    <row r="582" spans="1:4" x14ac:dyDescent="0.2">
      <c r="A582" s="1" t="s">
        <v>48</v>
      </c>
      <c r="B582" s="1">
        <v>84</v>
      </c>
      <c r="C582" s="1">
        <v>10889</v>
      </c>
      <c r="D582" s="2">
        <v>19038.515970278277</v>
      </c>
    </row>
    <row r="583" spans="1:4" x14ac:dyDescent="0.2">
      <c r="A583" s="1" t="s">
        <v>48</v>
      </c>
      <c r="B583" s="1">
        <v>85</v>
      </c>
      <c r="C583" s="1">
        <v>61381</v>
      </c>
      <c r="D583" s="2">
        <v>9646.8530112627468</v>
      </c>
    </row>
    <row r="584" spans="1:4" x14ac:dyDescent="0.2">
      <c r="A584" s="1" t="s">
        <v>48</v>
      </c>
      <c r="B584" s="1">
        <v>86</v>
      </c>
      <c r="C584" s="1">
        <v>27301</v>
      </c>
      <c r="D584" s="2">
        <v>15443.7338238513</v>
      </c>
    </row>
    <row r="585" spans="1:4" x14ac:dyDescent="0.2">
      <c r="A585" s="1" t="s">
        <v>48</v>
      </c>
      <c r="B585" s="1">
        <v>87</v>
      </c>
      <c r="C585" s="1">
        <v>4037</v>
      </c>
      <c r="D585" s="2">
        <v>9290.1598212207991</v>
      </c>
    </row>
    <row r="586" spans="1:4" x14ac:dyDescent="0.2">
      <c r="A586" s="1" t="s">
        <v>48</v>
      </c>
      <c r="B586" s="1">
        <v>88</v>
      </c>
      <c r="C586" s="1">
        <v>41150</v>
      </c>
      <c r="D586" s="2">
        <v>4855.5685392985661</v>
      </c>
    </row>
    <row r="587" spans="1:4" x14ac:dyDescent="0.2">
      <c r="A587" s="1" t="s">
        <v>48</v>
      </c>
      <c r="B587" s="1">
        <v>90</v>
      </c>
      <c r="C587" s="1">
        <v>3948</v>
      </c>
      <c r="D587" s="2">
        <v>10971.010579004329</v>
      </c>
    </row>
    <row r="588" spans="1:4" x14ac:dyDescent="0.2">
      <c r="A588" s="1" t="s">
        <v>48</v>
      </c>
      <c r="B588" s="1">
        <v>91</v>
      </c>
      <c r="C588" s="1">
        <v>1276</v>
      </c>
      <c r="D588" s="2">
        <v>8955.3776371812601</v>
      </c>
    </row>
    <row r="589" spans="1:4" x14ac:dyDescent="0.2">
      <c r="A589" s="1" t="s">
        <v>48</v>
      </c>
      <c r="B589" s="1">
        <v>92</v>
      </c>
      <c r="C589" s="1">
        <v>245</v>
      </c>
      <c r="D589" s="2">
        <v>20141.141128633277</v>
      </c>
    </row>
    <row r="590" spans="1:4" x14ac:dyDescent="0.2">
      <c r="A590" s="1" t="s">
        <v>48</v>
      </c>
      <c r="B590" s="1">
        <v>93</v>
      </c>
      <c r="C590" s="1">
        <v>9690</v>
      </c>
      <c r="D590" s="2">
        <v>6826.909561623178</v>
      </c>
    </row>
    <row r="591" spans="1:4" x14ac:dyDescent="0.2">
      <c r="A591" s="1" t="s">
        <v>48</v>
      </c>
      <c r="B591" s="1">
        <v>94</v>
      </c>
      <c r="C591" s="1">
        <v>14578</v>
      </c>
      <c r="D591" s="2">
        <v>8017.5835086577899</v>
      </c>
    </row>
    <row r="592" spans="1:4" x14ac:dyDescent="0.2">
      <c r="A592" s="1" t="s">
        <v>48</v>
      </c>
      <c r="B592" s="1">
        <v>95</v>
      </c>
      <c r="C592" s="1">
        <v>1045</v>
      </c>
      <c r="D592" s="2">
        <v>10296.576554678706</v>
      </c>
    </row>
    <row r="593" spans="1:4" x14ac:dyDescent="0.2">
      <c r="A593" s="1" t="s">
        <v>48</v>
      </c>
      <c r="B593" s="1">
        <v>96</v>
      </c>
      <c r="C593" s="1">
        <v>4418</v>
      </c>
      <c r="D593" s="2">
        <v>8026.8633010242302</v>
      </c>
    </row>
    <row r="594" spans="1:4" x14ac:dyDescent="0.2">
      <c r="A594" s="1" t="s">
        <v>48</v>
      </c>
      <c r="B594" s="1">
        <v>99</v>
      </c>
      <c r="C594" s="1">
        <v>594</v>
      </c>
      <c r="D594" s="2">
        <v>18552.256258775848</v>
      </c>
    </row>
  </sheetData>
  <pageMargins left="0.75" right="0.75" top="1" bottom="1" header="0.5" footer="0.5"/>
  <headerFooter alignWithMargins="0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69"/>
  <sheetViews>
    <sheetView topLeftCell="F66" zoomScale="66" zoomScaleNormal="85" workbookViewId="0">
      <selection activeCell="Z32" sqref="Z32"/>
    </sheetView>
  </sheetViews>
  <sheetFormatPr defaultRowHeight="14.25" x14ac:dyDescent="0.2"/>
  <cols>
    <col min="1" max="1" width="12.28515625" style="1" bestFit="1" customWidth="1"/>
    <col min="2" max="2" width="9.28515625" style="1" bestFit="1" customWidth="1"/>
    <col min="3" max="3" width="15.7109375" style="1" bestFit="1" customWidth="1"/>
    <col min="4" max="4" width="12" style="1" bestFit="1" customWidth="1"/>
    <col min="5" max="5" width="16.28515625" style="2" bestFit="1" customWidth="1"/>
    <col min="15" max="15" width="48.7109375" bestFit="1" customWidth="1"/>
    <col min="16" max="16" width="20.7109375" bestFit="1" customWidth="1"/>
    <col min="17" max="17" width="9.5703125" bestFit="1" customWidth="1"/>
    <col min="18" max="18" width="9.85546875" bestFit="1" customWidth="1"/>
    <col min="19" max="19" width="9.5703125" bestFit="1" customWidth="1"/>
    <col min="20" max="20" width="12.42578125" bestFit="1" customWidth="1"/>
    <col min="21" max="21" width="9.5703125" bestFit="1" customWidth="1"/>
    <col min="22" max="22" width="13.28515625" bestFit="1" customWidth="1"/>
    <col min="23" max="23" width="9.85546875" bestFit="1" customWidth="1"/>
    <col min="24" max="24" width="14.28515625" bestFit="1" customWidth="1"/>
    <col min="25" max="25" width="22.5703125" bestFit="1" customWidth="1"/>
    <col min="26" max="26" width="19.42578125" bestFit="1" customWidth="1"/>
    <col min="27" max="27" width="22.5703125" bestFit="1" customWidth="1"/>
    <col min="28" max="28" width="19.42578125" bestFit="1" customWidth="1"/>
    <col min="29" max="29" width="22.5703125" bestFit="1" customWidth="1"/>
    <col min="30" max="30" width="19.42578125" bestFit="1" customWidth="1"/>
    <col min="31" max="31" width="22.5703125" bestFit="1" customWidth="1"/>
    <col min="32" max="32" width="25.28515625" bestFit="1" customWidth="1"/>
    <col min="33" max="33" width="28.42578125" bestFit="1" customWidth="1"/>
    <col min="34" max="40" width="54.7109375" bestFit="1" customWidth="1"/>
    <col min="41" max="41" width="58.85546875" bestFit="1" customWidth="1"/>
    <col min="42" max="49" width="26" bestFit="1" customWidth="1"/>
    <col min="50" max="50" width="30.140625" bestFit="1" customWidth="1"/>
    <col min="51" max="58" width="13" bestFit="1" customWidth="1"/>
    <col min="59" max="59" width="10.42578125" bestFit="1" customWidth="1"/>
    <col min="60" max="67" width="13" bestFit="1" customWidth="1"/>
    <col min="68" max="68" width="11" bestFit="1" customWidth="1"/>
    <col min="69" max="76" width="17.85546875" bestFit="1" customWidth="1"/>
    <col min="77" max="77" width="22" bestFit="1" customWidth="1"/>
    <col min="78" max="85" width="13.28515625" bestFit="1" customWidth="1"/>
    <col min="86" max="86" width="17.42578125" bestFit="1" customWidth="1"/>
    <col min="87" max="94" width="14.7109375" bestFit="1" customWidth="1"/>
    <col min="95" max="95" width="18.85546875" bestFit="1" customWidth="1"/>
    <col min="96" max="103" width="45.7109375" bestFit="1" customWidth="1"/>
    <col min="104" max="104" width="49.7109375" bestFit="1" customWidth="1"/>
    <col min="105" max="112" width="46.140625" bestFit="1" customWidth="1"/>
    <col min="113" max="113" width="50.140625" bestFit="1" customWidth="1"/>
    <col min="114" max="121" width="15.42578125" bestFit="1" customWidth="1"/>
    <col min="122" max="122" width="19.42578125" bestFit="1" customWidth="1"/>
    <col min="123" max="130" width="18.28515625" bestFit="1" customWidth="1"/>
    <col min="131" max="131" width="22.42578125" bestFit="1" customWidth="1"/>
    <col min="132" max="139" width="25" bestFit="1" customWidth="1"/>
    <col min="140" max="140" width="29" bestFit="1" customWidth="1"/>
    <col min="141" max="148" width="19.42578125" bestFit="1" customWidth="1"/>
    <col min="149" max="149" width="23.42578125" bestFit="1" customWidth="1"/>
    <col min="150" max="157" width="34.140625" bestFit="1" customWidth="1"/>
    <col min="158" max="158" width="38.28515625" bestFit="1" customWidth="1"/>
    <col min="159" max="166" width="15.42578125" bestFit="1" customWidth="1"/>
    <col min="167" max="167" width="19.42578125" bestFit="1" customWidth="1"/>
    <col min="168" max="175" width="30.7109375" bestFit="1" customWidth="1"/>
    <col min="176" max="176" width="34.85546875" bestFit="1" customWidth="1"/>
    <col min="177" max="184" width="29" bestFit="1" customWidth="1"/>
    <col min="185" max="185" width="33" bestFit="1" customWidth="1"/>
    <col min="186" max="194" width="13" bestFit="1" customWidth="1"/>
    <col min="195" max="195" width="9.85546875" bestFit="1" customWidth="1"/>
    <col min="196" max="196" width="13.85546875" bestFit="1" customWidth="1"/>
    <col min="197" max="197" width="12.85546875" bestFit="1" customWidth="1"/>
  </cols>
  <sheetData>
    <row r="1" spans="1:24" ht="15" x14ac:dyDescent="0.25">
      <c r="A1" s="3" t="s">
        <v>39</v>
      </c>
      <c r="B1" s="3" t="s">
        <v>49</v>
      </c>
      <c r="C1" s="3" t="s">
        <v>197</v>
      </c>
      <c r="D1" s="3" t="s">
        <v>50</v>
      </c>
      <c r="E1" s="4" t="s">
        <v>51</v>
      </c>
    </row>
    <row r="2" spans="1:24" x14ac:dyDescent="0.2">
      <c r="A2" s="1" t="s">
        <v>40</v>
      </c>
      <c r="B2" s="1" t="s">
        <v>2</v>
      </c>
      <c r="D2" s="1">
        <v>6087</v>
      </c>
      <c r="E2" s="2">
        <v>20201.097313875951</v>
      </c>
      <c r="O2" s="14" t="s">
        <v>196</v>
      </c>
      <c r="P2" s="14" t="s">
        <v>198</v>
      </c>
    </row>
    <row r="3" spans="1:24" x14ac:dyDescent="0.2">
      <c r="A3" s="1" t="s">
        <v>40</v>
      </c>
      <c r="B3" s="1" t="s">
        <v>3</v>
      </c>
      <c r="C3" s="1" t="str">
        <f>VLOOKUP(B3,רשויות_ענף_כלכלי__2ספרות_!$J$2:$L$115,3,FALSE)</f>
        <v>חקלאות, ייעור ודיג</v>
      </c>
      <c r="D3" s="1">
        <v>2539</v>
      </c>
      <c r="E3" s="2">
        <v>7082.5327962855899</v>
      </c>
      <c r="O3" s="14" t="s">
        <v>49</v>
      </c>
      <c r="P3" t="s">
        <v>40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194</v>
      </c>
    </row>
    <row r="4" spans="1:24" x14ac:dyDescent="0.2">
      <c r="A4" s="1" t="s">
        <v>40</v>
      </c>
      <c r="B4" s="1" t="s">
        <v>24</v>
      </c>
      <c r="C4" s="1" t="str">
        <f>VLOOKUP(B4,רשויות_ענף_כלכלי__2ספרות_!$J$2:$L$115,3,FALSE)</f>
        <v>כרייה וחציבה</v>
      </c>
      <c r="D4" s="1">
        <v>66</v>
      </c>
      <c r="E4" s="2">
        <v>22314.780578512396</v>
      </c>
      <c r="O4" s="25" t="s">
        <v>178</v>
      </c>
      <c r="P4" s="26">
        <v>5975.5194321184999</v>
      </c>
      <c r="Q4" s="26">
        <v>7019.4053183316901</v>
      </c>
      <c r="R4" s="26">
        <v>6135.3687178050486</v>
      </c>
      <c r="S4" s="26">
        <v>7273.3308895472373</v>
      </c>
      <c r="T4" s="26">
        <v>6303.123791024188</v>
      </c>
      <c r="U4" s="26">
        <v>6581.5360812324398</v>
      </c>
      <c r="V4" s="26">
        <v>6768.9292936943675</v>
      </c>
      <c r="W4" s="26">
        <v>8300.5438920506349</v>
      </c>
      <c r="X4" s="26">
        <v>6794.7196769755128</v>
      </c>
    </row>
    <row r="5" spans="1:24" x14ac:dyDescent="0.2">
      <c r="A5" s="1" t="s">
        <v>40</v>
      </c>
      <c r="B5" s="1" t="s">
        <v>4</v>
      </c>
      <c r="C5" s="1" t="str">
        <f>VLOOKUP(B5,רשויות_ענף_כלכלי__2ספרות_!$J$2:$L$115,3,FALSE)</f>
        <v>תעשייה</v>
      </c>
      <c r="D5" s="1">
        <v>10432</v>
      </c>
      <c r="E5" s="2">
        <v>15448.77797547471</v>
      </c>
      <c r="O5" s="25" t="s">
        <v>119</v>
      </c>
      <c r="P5" s="26">
        <v>27878.830897183037</v>
      </c>
      <c r="Q5" s="26">
        <v>25753.131670732033</v>
      </c>
      <c r="R5" s="26">
        <v>30523.102705618257</v>
      </c>
      <c r="S5" s="26">
        <v>22878.199597692073</v>
      </c>
      <c r="T5" s="26">
        <v>28054.89095490046</v>
      </c>
      <c r="U5" s="26">
        <v>32673.111847134383</v>
      </c>
      <c r="V5" s="26">
        <v>22344.183437761072</v>
      </c>
      <c r="W5" s="26">
        <v>30032.855091758403</v>
      </c>
      <c r="X5" s="26">
        <v>27517.288275347466</v>
      </c>
    </row>
    <row r="6" spans="1:24" x14ac:dyDescent="0.2">
      <c r="A6" s="1" t="s">
        <v>40</v>
      </c>
      <c r="B6" s="1" t="s">
        <v>22</v>
      </c>
      <c r="C6" s="1" t="str">
        <f>VLOOKUP(B6,רשויות_ענף_כלכלי__2ספרות_!$J$2:$L$115,3,FALSE)</f>
        <v>אספקת חשמל, גז, קיטור ומיזוג אוויר</v>
      </c>
      <c r="D6" s="1">
        <v>349</v>
      </c>
      <c r="E6" s="2">
        <v>27878.830897183037</v>
      </c>
      <c r="O6" s="25" t="s">
        <v>121</v>
      </c>
      <c r="P6" s="26">
        <v>16191.560406330897</v>
      </c>
      <c r="Q6" s="26">
        <v>13878.67953420197</v>
      </c>
      <c r="R6" s="26">
        <v>13794.101031221229</v>
      </c>
      <c r="S6" s="26">
        <v>10211.798184344572</v>
      </c>
      <c r="T6" s="26">
        <v>12162.72476835682</v>
      </c>
      <c r="U6" s="26">
        <v>15244.7464192717</v>
      </c>
      <c r="V6" s="26">
        <v>15086.191980270938</v>
      </c>
      <c r="W6" s="26">
        <v>15550.525522490023</v>
      </c>
      <c r="X6" s="26">
        <v>14015.040980811018</v>
      </c>
    </row>
    <row r="7" spans="1:24" x14ac:dyDescent="0.2">
      <c r="A7" s="1" t="s">
        <v>40</v>
      </c>
      <c r="B7" s="1" t="s">
        <v>5</v>
      </c>
      <c r="C7" s="1" t="str">
        <f>VLOOKUP(B7,רשויות_ענף_כלכלי__2ספרות_!$J$2:$L$115,3,FALSE)</f>
        <v>אספקת מים; שירותי ביוב, טיפול באשפה ובפסולת ושירותי טיהור</v>
      </c>
      <c r="D7" s="1">
        <v>315</v>
      </c>
      <c r="E7" s="2">
        <v>16191.560406330897</v>
      </c>
      <c r="O7" s="25" t="s">
        <v>191</v>
      </c>
      <c r="P7" s="26">
        <v>22218.943641331349</v>
      </c>
      <c r="Q7" s="26">
        <v>17448.40231115503</v>
      </c>
      <c r="R7" s="26">
        <v>16382.31220012626</v>
      </c>
      <c r="S7" s="26">
        <v>19020.572895321835</v>
      </c>
      <c r="T7" s="26">
        <v>15987.164578477083</v>
      </c>
      <c r="U7" s="26">
        <v>19083.975593212996</v>
      </c>
      <c r="V7" s="26">
        <v>13491.191086691086</v>
      </c>
      <c r="W7" s="26">
        <v>18552.256258775848</v>
      </c>
      <c r="X7" s="26">
        <v>17773.102320636437</v>
      </c>
    </row>
    <row r="8" spans="1:24" x14ac:dyDescent="0.2">
      <c r="A8" s="1" t="s">
        <v>40</v>
      </c>
      <c r="B8" s="1" t="s">
        <v>6</v>
      </c>
      <c r="C8" s="1" t="str">
        <f>VLOOKUP(B8,רשויות_ענף_כלכלי__2ספרות_!$J$2:$L$115,3,FALSE)</f>
        <v>בינוי</v>
      </c>
      <c r="D8" s="1">
        <v>7167</v>
      </c>
      <c r="E8" s="2">
        <v>13093.008108658394</v>
      </c>
      <c r="O8" s="25" t="s">
        <v>126</v>
      </c>
      <c r="P8" s="26">
        <v>13093.008108658394</v>
      </c>
      <c r="Q8" s="26">
        <v>11371.465575583685</v>
      </c>
      <c r="R8" s="26">
        <v>10656.474528735111</v>
      </c>
      <c r="S8" s="26">
        <v>8916.2721435665044</v>
      </c>
      <c r="T8" s="26">
        <v>8219.2358950124963</v>
      </c>
      <c r="U8" s="26">
        <v>14328.221048281899</v>
      </c>
      <c r="V8" s="26">
        <v>8594.0468541356695</v>
      </c>
      <c r="W8" s="26">
        <v>15388.597601896463</v>
      </c>
      <c r="X8" s="26">
        <v>11320.915219483777</v>
      </c>
    </row>
    <row r="9" spans="1:24" x14ac:dyDescent="0.2">
      <c r="A9" s="1" t="s">
        <v>40</v>
      </c>
      <c r="B9" s="1" t="s">
        <v>7</v>
      </c>
      <c r="C9" s="1" t="str">
        <f>VLOOKUP(B9,רשויות_ענף_כלכלי__2ספרות_!$J$2:$L$115,3,FALSE)</f>
        <v>מסחר סיטוני וקמעוני; תיקון כלי רכב מנועיים ואופנועים</v>
      </c>
      <c r="D9" s="1">
        <v>21112</v>
      </c>
      <c r="E9" s="2">
        <v>8465.3973703003485</v>
      </c>
      <c r="O9" s="25" t="s">
        <v>173</v>
      </c>
      <c r="P9" s="26">
        <v>9107.6989571053109</v>
      </c>
      <c r="Q9" s="26">
        <v>10663.384815064735</v>
      </c>
      <c r="R9" s="26">
        <v>11241.57430604143</v>
      </c>
      <c r="S9" s="26">
        <v>8847.2289277498385</v>
      </c>
      <c r="T9" s="26">
        <v>11295.911590740492</v>
      </c>
      <c r="U9" s="26">
        <v>11072.180287357725</v>
      </c>
      <c r="V9" s="26">
        <v>10469.97869227929</v>
      </c>
      <c r="W9" s="26">
        <v>9646.8530112627468</v>
      </c>
      <c r="X9" s="26">
        <v>10293.101323450195</v>
      </c>
    </row>
    <row r="10" spans="1:24" x14ac:dyDescent="0.2">
      <c r="A10" s="1" t="s">
        <v>40</v>
      </c>
      <c r="B10" s="1" t="s">
        <v>8</v>
      </c>
      <c r="C10" s="1" t="str">
        <f>VLOOKUP(B10,רשויות_ענף_כלכלי__2ספרות_!$J$2:$L$115,3,FALSE)</f>
        <v>שירותי תחבורה, אחסנה, דואר ובלדרות</v>
      </c>
      <c r="D10" s="1">
        <v>4361</v>
      </c>
      <c r="E10" s="2">
        <v>12440.864130511403</v>
      </c>
      <c r="O10" s="25" t="s">
        <v>82</v>
      </c>
      <c r="P10" s="26">
        <v>7082.5327962855899</v>
      </c>
      <c r="Q10" s="26">
        <v>14259.207296463886</v>
      </c>
      <c r="R10" s="26">
        <v>14174.927753596363</v>
      </c>
      <c r="S10" s="26">
        <v>13911.92839586735</v>
      </c>
      <c r="T10" s="26">
        <v>13484.720016979349</v>
      </c>
      <c r="U10" s="26">
        <v>15749.700987476506</v>
      </c>
      <c r="V10" s="26">
        <v>13532.036069626356</v>
      </c>
      <c r="W10" s="26">
        <v>15186.067438150598</v>
      </c>
      <c r="X10" s="26">
        <v>13845.313914173759</v>
      </c>
    </row>
    <row r="11" spans="1:24" x14ac:dyDescent="0.2">
      <c r="A11" s="1" t="s">
        <v>40</v>
      </c>
      <c r="B11" s="1" t="s">
        <v>9</v>
      </c>
      <c r="C11" s="1" t="str">
        <f>VLOOKUP(B11,רשויות_ענף_כלכלי__2ספרות_!$J$2:$L$115,3,FALSE)</f>
        <v>שירותי אירוח ואוכל</v>
      </c>
      <c r="D11" s="1">
        <v>9697</v>
      </c>
      <c r="E11" s="2">
        <v>4588.2312120229863</v>
      </c>
      <c r="O11" s="25" t="s">
        <v>87</v>
      </c>
      <c r="P11" s="26">
        <v>22314.780578512396</v>
      </c>
      <c r="Q11" s="26">
        <v>29879.92707123571</v>
      </c>
      <c r="R11" s="26">
        <v>21114.719003429342</v>
      </c>
      <c r="S11" s="26">
        <v>16066.058400926557</v>
      </c>
      <c r="T11" s="26">
        <v>16912.906660732817</v>
      </c>
      <c r="U11" s="26">
        <v>26195.454659414328</v>
      </c>
      <c r="V11" s="26">
        <v>17832.677319902312</v>
      </c>
      <c r="W11" s="26">
        <v>36565.012180362181</v>
      </c>
      <c r="X11" s="26">
        <v>23360.191984314457</v>
      </c>
    </row>
    <row r="12" spans="1:24" x14ac:dyDescent="0.2">
      <c r="A12" s="1" t="s">
        <v>40</v>
      </c>
      <c r="B12" s="1" t="s">
        <v>10</v>
      </c>
      <c r="C12" s="1" t="str">
        <f>VLOOKUP(B12,רשויות_ענף_כלכלי__2ספרות_!$J$2:$L$115,3,FALSE)</f>
        <v>מידע ותקשורת</v>
      </c>
      <c r="D12" s="1">
        <v>10280</v>
      </c>
      <c r="E12" s="2">
        <v>21745.863821644671</v>
      </c>
      <c r="O12" s="25" t="s">
        <v>143</v>
      </c>
      <c r="P12" s="26">
        <v>21745.863821644671</v>
      </c>
      <c r="Q12" s="26">
        <v>19665.652749086399</v>
      </c>
      <c r="R12" s="26">
        <v>24356.973139813981</v>
      </c>
      <c r="S12" s="26">
        <v>19873.731703579262</v>
      </c>
      <c r="T12" s="26">
        <v>21035.312210438391</v>
      </c>
      <c r="U12" s="26">
        <v>29126.390582014243</v>
      </c>
      <c r="V12" s="26">
        <v>18955.910744194385</v>
      </c>
      <c r="W12" s="26">
        <v>30425.284072976014</v>
      </c>
      <c r="X12" s="26">
        <v>23148.139877968417</v>
      </c>
    </row>
    <row r="13" spans="1:24" x14ac:dyDescent="0.2">
      <c r="A13" s="1" t="s">
        <v>40</v>
      </c>
      <c r="B13" s="1" t="s">
        <v>11</v>
      </c>
      <c r="C13" s="1" t="str">
        <f>VLOOKUP(B13,רשויות_ענף_כלכלי__2ספרות_!$J$2:$L$115,3,FALSE)</f>
        <v>שירותים פיננסיים ושירותי ביטוח</v>
      </c>
      <c r="D13" s="1">
        <v>4176</v>
      </c>
      <c r="E13" s="2">
        <v>19166.415390780068</v>
      </c>
      <c r="O13" s="25" t="s">
        <v>170</v>
      </c>
      <c r="P13" s="26">
        <v>10630.491611286703</v>
      </c>
      <c r="Q13" s="26">
        <v>11536.024152767444</v>
      </c>
      <c r="R13" s="26">
        <v>12899.628508901858</v>
      </c>
      <c r="S13" s="26">
        <v>13510.56003901166</v>
      </c>
      <c r="T13" s="26">
        <v>12177.888239944699</v>
      </c>
      <c r="U13" s="26">
        <v>12871.757287834231</v>
      </c>
      <c r="V13" s="26">
        <v>11608.868347650718</v>
      </c>
      <c r="W13" s="26">
        <v>13873.637294063614</v>
      </c>
      <c r="X13" s="26">
        <v>12388.606935182615</v>
      </c>
    </row>
    <row r="14" spans="1:24" x14ac:dyDescent="0.2">
      <c r="A14" s="1" t="s">
        <v>40</v>
      </c>
      <c r="B14" s="1" t="s">
        <v>12</v>
      </c>
      <c r="C14" s="1" t="str">
        <f>VLOOKUP(B14,רשויות_ענף_כלכלי__2ספרות_!$J$2:$L$115,3,FALSE)</f>
        <v>פעילויות בנדל"ן</v>
      </c>
      <c r="D14" s="1">
        <v>1463</v>
      </c>
      <c r="E14" s="2">
        <v>11552.951729974264</v>
      </c>
      <c r="O14" s="25" t="s">
        <v>130</v>
      </c>
      <c r="P14" s="26">
        <v>8465.3973703003485</v>
      </c>
      <c r="Q14" s="26">
        <v>8367.4328067486058</v>
      </c>
      <c r="R14" s="26">
        <v>9359.7986218584992</v>
      </c>
      <c r="S14" s="26">
        <v>7686.4273609288248</v>
      </c>
      <c r="T14" s="26">
        <v>7780.7429624662418</v>
      </c>
      <c r="U14" s="26">
        <v>11319.050858406481</v>
      </c>
      <c r="V14" s="26">
        <v>7873.3291539275297</v>
      </c>
      <c r="W14" s="26">
        <v>11905.126720181717</v>
      </c>
      <c r="X14" s="26">
        <v>9094.6632318522825</v>
      </c>
    </row>
    <row r="15" spans="1:24" x14ac:dyDescent="0.2">
      <c r="A15" s="1" t="s">
        <v>40</v>
      </c>
      <c r="B15" s="1" t="s">
        <v>13</v>
      </c>
      <c r="C15" s="1" t="str">
        <f>VLOOKUP(B15,רשויות_ענף_כלכלי__2ספרות_!$J$2:$L$115,3,FALSE)</f>
        <v>שירותים מקצועיים, מדעיים וטכניים</v>
      </c>
      <c r="D15" s="1">
        <v>11439</v>
      </c>
      <c r="E15" s="2">
        <v>14131.379560633273</v>
      </c>
      <c r="O15" s="25" t="s">
        <v>154</v>
      </c>
      <c r="P15" s="26">
        <v>11552.951729974264</v>
      </c>
      <c r="Q15" s="26">
        <v>10846.157636782686</v>
      </c>
      <c r="R15" s="26">
        <v>12534.490945501482</v>
      </c>
      <c r="S15" s="26">
        <v>11589.133630688222</v>
      </c>
      <c r="T15" s="26">
        <v>9456.4944253142548</v>
      </c>
      <c r="U15" s="26">
        <v>15996.55524902031</v>
      </c>
      <c r="V15" s="26">
        <v>11414.499252657064</v>
      </c>
      <c r="W15" s="26">
        <v>17234.842315258884</v>
      </c>
      <c r="X15" s="26">
        <v>12578.140648149647</v>
      </c>
    </row>
    <row r="16" spans="1:24" x14ac:dyDescent="0.2">
      <c r="A16" s="1" t="s">
        <v>40</v>
      </c>
      <c r="B16" s="1" t="s">
        <v>14</v>
      </c>
      <c r="C16" s="1" t="str">
        <f>VLOOKUP(B16,רשויות_ענף_כלכלי__2ספרות_!$J$2:$L$115,3,FALSE)</f>
        <v>שירותי ניהול ותמיכה</v>
      </c>
      <c r="D16" s="1">
        <v>11057</v>
      </c>
      <c r="E16" s="2">
        <v>7452.8232697131189</v>
      </c>
      <c r="O16" s="25" t="s">
        <v>140</v>
      </c>
      <c r="P16" s="26">
        <v>4588.2312120229863</v>
      </c>
      <c r="Q16" s="26">
        <v>5947.2032508701259</v>
      </c>
      <c r="R16" s="26">
        <v>5105.2023921430246</v>
      </c>
      <c r="S16" s="26">
        <v>5857.2449053189403</v>
      </c>
      <c r="T16" s="26">
        <v>5292.8581625719889</v>
      </c>
      <c r="U16" s="26">
        <v>4992.4098701353769</v>
      </c>
      <c r="V16" s="26">
        <v>5638.7304681440437</v>
      </c>
      <c r="W16" s="26">
        <v>6330.1337223624241</v>
      </c>
      <c r="X16" s="26">
        <v>5469.0017479461139</v>
      </c>
    </row>
    <row r="17" spans="1:24" x14ac:dyDescent="0.2">
      <c r="A17" s="1" t="s">
        <v>40</v>
      </c>
      <c r="B17" s="1" t="s">
        <v>15</v>
      </c>
      <c r="C17" s="1" t="str">
        <f>VLOOKUP(B17,רשויות_ענף_כלכלי__2ספרות_!$J$2:$L$115,3,FALSE)</f>
        <v>מינהל מקומי, מינהל ציבורי וביטחון; ביטוח לאומי חובה</v>
      </c>
      <c r="D17" s="1">
        <v>17420</v>
      </c>
      <c r="E17" s="2">
        <v>10630.491611286703</v>
      </c>
      <c r="O17" s="25" t="s">
        <v>174</v>
      </c>
      <c r="P17" s="26">
        <v>8961.8851046377531</v>
      </c>
      <c r="Q17" s="26">
        <v>8269.8853009537816</v>
      </c>
      <c r="R17" s="26">
        <v>7998.6005580402243</v>
      </c>
      <c r="S17" s="26">
        <v>8476.8257714222964</v>
      </c>
      <c r="T17" s="26">
        <v>7844.968429049678</v>
      </c>
      <c r="U17" s="26">
        <v>9911.6222787436509</v>
      </c>
      <c r="V17" s="26">
        <v>7022.5052718076649</v>
      </c>
      <c r="W17" s="26">
        <v>9090.3376795520926</v>
      </c>
      <c r="X17" s="26">
        <v>8447.0787992758924</v>
      </c>
    </row>
    <row r="18" spans="1:24" x14ac:dyDescent="0.2">
      <c r="A18" s="1" t="s">
        <v>40</v>
      </c>
      <c r="B18" s="1" t="s">
        <v>16</v>
      </c>
      <c r="C18" s="1" t="str">
        <f>VLOOKUP(B18,רשויות_ענף_כלכלי__2ספרות_!$J$2:$L$115,3,FALSE)</f>
        <v>חינוך</v>
      </c>
      <c r="D18" s="1">
        <v>41865</v>
      </c>
      <c r="E18" s="2">
        <v>9107.6989571053109</v>
      </c>
      <c r="O18" s="25" t="s">
        <v>163</v>
      </c>
      <c r="P18" s="26">
        <v>7452.8232697131189</v>
      </c>
      <c r="Q18" s="26">
        <v>6163.8218103940944</v>
      </c>
      <c r="R18" s="26">
        <v>6656.3170329893392</v>
      </c>
      <c r="S18" s="26">
        <v>6559.6867021095095</v>
      </c>
      <c r="T18" s="26">
        <v>5885.5566795004206</v>
      </c>
      <c r="U18" s="26">
        <v>8216.4373540596844</v>
      </c>
      <c r="V18" s="26">
        <v>6188.4993867388839</v>
      </c>
      <c r="W18" s="26">
        <v>8878.0606264821818</v>
      </c>
      <c r="X18" s="26">
        <v>7000.1503577484045</v>
      </c>
    </row>
    <row r="19" spans="1:24" x14ac:dyDescent="0.2">
      <c r="A19" s="1" t="s">
        <v>40</v>
      </c>
      <c r="B19" s="1" t="s">
        <v>17</v>
      </c>
      <c r="C19" s="1" t="str">
        <f>VLOOKUP(B19,רשויות_ענף_כלכלי__2ספרות_!$J$2:$L$115,3,FALSE)</f>
        <v>שירותי בריאות, רווחה וסעד</v>
      </c>
      <c r="D19" s="1">
        <v>19700</v>
      </c>
      <c r="E19" s="2">
        <v>8961.8851046377531</v>
      </c>
      <c r="O19" s="25" t="s">
        <v>134</v>
      </c>
      <c r="P19" s="26">
        <v>12440.864130511403</v>
      </c>
      <c r="Q19" s="26">
        <v>11965.404223852194</v>
      </c>
      <c r="R19" s="26">
        <v>13797.428358666881</v>
      </c>
      <c r="S19" s="26">
        <v>9744.8237800905554</v>
      </c>
      <c r="T19" s="26">
        <v>10637.9088649808</v>
      </c>
      <c r="U19" s="26">
        <v>13756.646507449979</v>
      </c>
      <c r="V19" s="26">
        <v>10064.828741200567</v>
      </c>
      <c r="W19" s="26">
        <v>13884.747231182664</v>
      </c>
      <c r="X19" s="26">
        <v>12036.581479741879</v>
      </c>
    </row>
    <row r="20" spans="1:24" x14ac:dyDescent="0.2">
      <c r="A20" s="1" t="s">
        <v>40</v>
      </c>
      <c r="B20" s="1" t="s">
        <v>18</v>
      </c>
      <c r="C20" s="1" t="str">
        <f>VLOOKUP(B20,רשויות_ענף_כלכלי__2ספרות_!$J$2:$L$115,3,FALSE)</f>
        <v>אמנות, בידור ופנאי</v>
      </c>
      <c r="D20" s="1">
        <v>4036</v>
      </c>
      <c r="E20" s="2">
        <v>5975.5194321184999</v>
      </c>
      <c r="O20" s="25" t="s">
        <v>183</v>
      </c>
      <c r="P20" s="26">
        <v>5844.9944393365422</v>
      </c>
      <c r="Q20" s="26">
        <v>6143.1605139256126</v>
      </c>
      <c r="R20" s="26">
        <v>6648.8934770170245</v>
      </c>
      <c r="S20" s="26">
        <v>6293.5425601773841</v>
      </c>
      <c r="T20" s="26">
        <v>6253.8448729764978</v>
      </c>
      <c r="U20" s="26">
        <v>7400.7289641603229</v>
      </c>
      <c r="V20" s="26">
        <v>6201.0555660582631</v>
      </c>
      <c r="W20" s="26">
        <v>8138.4629984919611</v>
      </c>
      <c r="X20" s="26">
        <v>6615.5854240179506</v>
      </c>
    </row>
    <row r="21" spans="1:24" x14ac:dyDescent="0.2">
      <c r="A21" s="1" t="s">
        <v>40</v>
      </c>
      <c r="B21" s="1" t="s">
        <v>19</v>
      </c>
      <c r="C21" s="1" t="str">
        <f>VLOOKUP(B21,רשויות_ענף_כלכלי__2ספרות_!$J$2:$L$115,3,FALSE)</f>
        <v>שירותים אחרים</v>
      </c>
      <c r="D21" s="1">
        <v>10269</v>
      </c>
      <c r="E21" s="2">
        <v>5844.9944393365422</v>
      </c>
      <c r="O21" s="25" t="s">
        <v>155</v>
      </c>
      <c r="P21" s="26">
        <v>14131.379560633273</v>
      </c>
      <c r="Q21" s="26">
        <v>12638.144544496805</v>
      </c>
      <c r="R21" s="26">
        <v>16279.244975277337</v>
      </c>
      <c r="S21" s="26">
        <v>12806.090418789139</v>
      </c>
      <c r="T21" s="26">
        <v>12255.112335383887</v>
      </c>
      <c r="U21" s="26">
        <v>18536.830886886637</v>
      </c>
      <c r="V21" s="26">
        <v>11334.503463426914</v>
      </c>
      <c r="W21" s="26">
        <v>18890.173182323513</v>
      </c>
      <c r="X21" s="26">
        <v>14608.934920902188</v>
      </c>
    </row>
    <row r="22" spans="1:24" x14ac:dyDescent="0.2">
      <c r="A22" s="1" t="s">
        <v>40</v>
      </c>
      <c r="B22" s="1" t="s">
        <v>41</v>
      </c>
      <c r="C22" s="1" t="str">
        <f>VLOOKUP(B22,רשויות_ענף_כלכלי__2ספרות_!$J$2:$L$115,3,FALSE)</f>
        <v>ארגונים וגופים חוץ-מדינתיים</v>
      </c>
      <c r="D22" s="1">
        <v>61</v>
      </c>
      <c r="E22" s="2">
        <v>22218.943641331349</v>
      </c>
      <c r="O22" s="25" t="s">
        <v>150</v>
      </c>
      <c r="P22" s="26">
        <v>19166.415390780068</v>
      </c>
      <c r="Q22" s="26">
        <v>16293.98449268785</v>
      </c>
      <c r="R22" s="26">
        <v>17743.833676267215</v>
      </c>
      <c r="S22" s="26">
        <v>19067.109164340309</v>
      </c>
      <c r="T22" s="26">
        <v>14707.372118521154</v>
      </c>
      <c r="U22" s="26">
        <v>22398.884131456281</v>
      </c>
      <c r="V22" s="26">
        <v>14380.111017982228</v>
      </c>
      <c r="W22" s="26">
        <v>24120.993754856849</v>
      </c>
      <c r="X22" s="26">
        <v>18484.837968361495</v>
      </c>
    </row>
    <row r="23" spans="1:24" x14ac:dyDescent="0.2">
      <c r="A23" s="1" t="s">
        <v>42</v>
      </c>
      <c r="B23" s="1" t="s">
        <v>2</v>
      </c>
      <c r="D23" s="1">
        <v>13904</v>
      </c>
      <c r="E23" s="2">
        <v>19219.745023214047</v>
      </c>
      <c r="O23" s="25" t="s">
        <v>93</v>
      </c>
      <c r="P23" s="26">
        <v>15448.77797547471</v>
      </c>
      <c r="Q23" s="26">
        <v>14445.404121962247</v>
      </c>
      <c r="R23" s="26">
        <v>15981.59334499195</v>
      </c>
      <c r="S23" s="26">
        <v>13431.295419629871</v>
      </c>
      <c r="T23" s="26">
        <v>12463.319726305637</v>
      </c>
      <c r="U23" s="26">
        <v>20192.49834793415</v>
      </c>
      <c r="V23" s="26">
        <v>12236.242516189024</v>
      </c>
      <c r="W23" s="26">
        <v>19887.931745701873</v>
      </c>
      <c r="X23" s="26">
        <v>15510.882899773682</v>
      </c>
    </row>
    <row r="24" spans="1:24" x14ac:dyDescent="0.2">
      <c r="A24" s="1" t="s">
        <v>42</v>
      </c>
      <c r="B24" s="1" t="s">
        <v>3</v>
      </c>
      <c r="C24" s="1" t="str">
        <f>VLOOKUP(B24,רשויות_ענף_כלכלי__2ספרות_!$J$2:$L$115,3,FALSE)</f>
        <v>חקלאות, ייעור ודיג</v>
      </c>
      <c r="D24" s="1">
        <v>13728</v>
      </c>
      <c r="E24" s="2">
        <v>9298.6695697137238</v>
      </c>
      <c r="O24" s="25" t="s">
        <v>193</v>
      </c>
      <c r="P24" s="26">
        <v>20201.097313875951</v>
      </c>
      <c r="Q24" s="26"/>
      <c r="R24" s="26"/>
      <c r="S24" s="26"/>
      <c r="T24" s="26"/>
      <c r="U24" s="26"/>
      <c r="V24" s="26"/>
      <c r="W24" s="26"/>
      <c r="X24" s="26">
        <v>20201.097313875951</v>
      </c>
    </row>
    <row r="25" spans="1:24" x14ac:dyDescent="0.2">
      <c r="A25" s="1" t="s">
        <v>42</v>
      </c>
      <c r="B25" s="1" t="s">
        <v>24</v>
      </c>
      <c r="C25" s="1" t="str">
        <f>VLOOKUP(B25,רשויות_ענף_כלכלי__2ספרות_!$J$2:$L$115,3,FALSE)</f>
        <v>כרייה וחציבה</v>
      </c>
      <c r="D25" s="1">
        <v>2525</v>
      </c>
      <c r="E25" s="2">
        <v>29879.92707123571</v>
      </c>
      <c r="O25" s="25" t="s">
        <v>194</v>
      </c>
      <c r="P25" s="26">
        <v>13547.335607034158</v>
      </c>
      <c r="Q25" s="26">
        <v>13181.670785417165</v>
      </c>
      <c r="R25" s="26">
        <v>13693.310144363728</v>
      </c>
      <c r="S25" s="26">
        <v>12187.323299379488</v>
      </c>
      <c r="T25" s="26">
        <v>11985.560823840795</v>
      </c>
      <c r="U25" s="26">
        <v>15780.878106140943</v>
      </c>
      <c r="V25" s="26">
        <v>11646.207368284033</v>
      </c>
      <c r="W25" s="26">
        <v>16527.071894206252</v>
      </c>
      <c r="X25" s="26">
        <v>13568.669753583319</v>
      </c>
    </row>
    <row r="26" spans="1:24" x14ac:dyDescent="0.2">
      <c r="A26" s="1" t="s">
        <v>42</v>
      </c>
      <c r="B26" s="1" t="s">
        <v>4</v>
      </c>
      <c r="C26" s="1" t="str">
        <f>VLOOKUP(B26,רשויות_ענף_כלכלי__2ספרות_!$J$2:$L$115,3,FALSE)</f>
        <v>תעשייה</v>
      </c>
      <c r="D26" s="1">
        <v>67729</v>
      </c>
      <c r="E26" s="2">
        <v>14445.404121962247</v>
      </c>
    </row>
    <row r="27" spans="1:24" x14ac:dyDescent="0.2">
      <c r="A27" s="1" t="s">
        <v>42</v>
      </c>
      <c r="B27" s="1" t="s">
        <v>22</v>
      </c>
      <c r="C27" s="1" t="str">
        <f>VLOOKUP(B27,רשויות_ענף_כלכלי__2ספרות_!$J$2:$L$115,3,FALSE)</f>
        <v>אספקת חשמל, גז, קיטור ומיזוג אוויר</v>
      </c>
      <c r="D27" s="1">
        <v>2978</v>
      </c>
      <c r="E27" s="2">
        <v>25753.131670732033</v>
      </c>
    </row>
    <row r="28" spans="1:24" x14ac:dyDescent="0.2">
      <c r="A28" s="1" t="s">
        <v>42</v>
      </c>
      <c r="B28" s="1" t="s">
        <v>5</v>
      </c>
      <c r="C28" s="1" t="str">
        <f>VLOOKUP(B28,רשויות_ענף_כלכלי__2ספרות_!$J$2:$L$115,3,FALSE)</f>
        <v>אספקת מים; שירותי ביוב, טיפול באשפה ובפסולת ושירותי טיהור</v>
      </c>
      <c r="D28" s="1">
        <v>3238</v>
      </c>
      <c r="E28" s="2">
        <v>13878.67953420197</v>
      </c>
    </row>
    <row r="29" spans="1:24" x14ac:dyDescent="0.2">
      <c r="A29" s="1" t="s">
        <v>42</v>
      </c>
      <c r="B29" s="1" t="s">
        <v>6</v>
      </c>
      <c r="C29" s="1" t="str">
        <f>VLOOKUP(B29,רשויות_ענף_כלכלי__2ספרות_!$J$2:$L$115,3,FALSE)</f>
        <v>בינוי</v>
      </c>
      <c r="D29" s="1">
        <v>39531</v>
      </c>
      <c r="E29" s="2">
        <v>11371.465575583685</v>
      </c>
    </row>
    <row r="30" spans="1:24" x14ac:dyDescent="0.2">
      <c r="A30" s="1" t="s">
        <v>42</v>
      </c>
      <c r="B30" s="1" t="s">
        <v>7</v>
      </c>
      <c r="C30" s="1" t="str">
        <f>VLOOKUP(B30,רשויות_ענף_כלכלי__2ספרות_!$J$2:$L$115,3,FALSE)</f>
        <v>מסחר סיטוני וקמעוני; תיקון כלי רכב מנועיים ואופנועים</v>
      </c>
      <c r="D30" s="1">
        <v>82322</v>
      </c>
      <c r="E30" s="2">
        <v>8367.4328067486058</v>
      </c>
    </row>
    <row r="31" spans="1:24" x14ac:dyDescent="0.2">
      <c r="A31" s="1" t="s">
        <v>42</v>
      </c>
      <c r="B31" s="1" t="s">
        <v>8</v>
      </c>
      <c r="C31" s="1" t="str">
        <f>VLOOKUP(B31,רשויות_ענף_כלכלי__2ספרות_!$J$2:$L$115,3,FALSE)</f>
        <v>שירותי תחבורה, אחסנה, דואר ובלדרות</v>
      </c>
      <c r="D31" s="1">
        <v>30828</v>
      </c>
      <c r="E31" s="2">
        <v>11965.404223852194</v>
      </c>
    </row>
    <row r="32" spans="1:24" x14ac:dyDescent="0.2">
      <c r="A32" s="1" t="s">
        <v>42</v>
      </c>
      <c r="B32" s="1" t="s">
        <v>9</v>
      </c>
      <c r="C32" s="1" t="str">
        <f>VLOOKUP(B32,רשויות_ענף_כלכלי__2ספרות_!$J$2:$L$115,3,FALSE)</f>
        <v>שירותי אירוח ואוכל</v>
      </c>
      <c r="D32" s="1">
        <v>43533</v>
      </c>
      <c r="E32" s="2">
        <v>5947.2032508701259</v>
      </c>
    </row>
    <row r="33" spans="1:19" x14ac:dyDescent="0.2">
      <c r="A33" s="1" t="s">
        <v>42</v>
      </c>
      <c r="B33" s="1" t="s">
        <v>10</v>
      </c>
      <c r="C33" s="1" t="str">
        <f>VLOOKUP(B33,רשויות_ענף_כלכלי__2ספרות_!$J$2:$L$115,3,FALSE)</f>
        <v>מידע ותקשורת</v>
      </c>
      <c r="D33" s="1">
        <v>18009</v>
      </c>
      <c r="E33" s="2">
        <v>19665.652749086399</v>
      </c>
    </row>
    <row r="34" spans="1:19" x14ac:dyDescent="0.2">
      <c r="A34" s="1" t="s">
        <v>42</v>
      </c>
      <c r="B34" s="1" t="s">
        <v>11</v>
      </c>
      <c r="C34" s="1" t="str">
        <f>VLOOKUP(B34,רשויות_ענף_כלכלי__2ספרות_!$J$2:$L$115,3,FALSE)</f>
        <v>שירותים פיננסיים ושירותי ביטוח</v>
      </c>
      <c r="D34" s="1">
        <v>8958</v>
      </c>
      <c r="E34" s="2">
        <v>16293.98449268785</v>
      </c>
    </row>
    <row r="35" spans="1:19" x14ac:dyDescent="0.2">
      <c r="A35" s="1" t="s">
        <v>42</v>
      </c>
      <c r="B35" s="1" t="s">
        <v>12</v>
      </c>
      <c r="C35" s="1" t="str">
        <f>VLOOKUP(B35,רשויות_ענף_כלכלי__2ספרות_!$J$2:$L$115,3,FALSE)</f>
        <v>פעילויות בנדל"ן</v>
      </c>
      <c r="D35" s="1">
        <v>4115</v>
      </c>
      <c r="E35" s="2">
        <v>10846.157636782686</v>
      </c>
    </row>
    <row r="36" spans="1:19" x14ac:dyDescent="0.2">
      <c r="A36" s="1" t="s">
        <v>42</v>
      </c>
      <c r="B36" s="1" t="s">
        <v>13</v>
      </c>
      <c r="C36" s="1" t="str">
        <f>VLOOKUP(B36,רשויות_ענף_כלכלי__2ספרות_!$J$2:$L$115,3,FALSE)</f>
        <v>שירותים מקצועיים, מדעיים וטכניים</v>
      </c>
      <c r="D36" s="1">
        <v>27716</v>
      </c>
      <c r="E36" s="2">
        <v>12638.144544496805</v>
      </c>
    </row>
    <row r="37" spans="1:19" x14ac:dyDescent="0.2">
      <c r="A37" s="1" t="s">
        <v>42</v>
      </c>
      <c r="B37" s="1" t="s">
        <v>14</v>
      </c>
      <c r="C37" s="1" t="str">
        <f>VLOOKUP(B37,רשויות_ענף_כלכלי__2ספרות_!$J$2:$L$115,3,FALSE)</f>
        <v>שירותי ניהול ותמיכה</v>
      </c>
      <c r="D37" s="1">
        <v>57599</v>
      </c>
      <c r="E37" s="2">
        <v>6163.8218103940944</v>
      </c>
      <c r="O37" t="s">
        <v>196</v>
      </c>
      <c r="P37" t="s">
        <v>198</v>
      </c>
    </row>
    <row r="38" spans="1:19" x14ac:dyDescent="0.2">
      <c r="A38" s="1" t="s">
        <v>42</v>
      </c>
      <c r="B38" s="1" t="s">
        <v>15</v>
      </c>
      <c r="C38" s="1" t="str">
        <f>VLOOKUP(B38,רשויות_ענף_כלכלי__2ספרות_!$J$2:$L$115,3,FALSE)</f>
        <v>מינהל מקומי, מינהל ציבורי וביטחון; ביטוח לאומי חובה</v>
      </c>
      <c r="D38" s="1">
        <v>36869</v>
      </c>
      <c r="E38" s="2">
        <v>11536.024152767444</v>
      </c>
      <c r="O38" t="s">
        <v>49</v>
      </c>
      <c r="P38" t="s">
        <v>47</v>
      </c>
      <c r="Q38" t="s">
        <v>199</v>
      </c>
      <c r="R38" t="s">
        <v>200</v>
      </c>
      <c r="S38" t="s">
        <v>201</v>
      </c>
    </row>
    <row r="39" spans="1:19" x14ac:dyDescent="0.2">
      <c r="A39" s="1" t="s">
        <v>42</v>
      </c>
      <c r="B39" s="1" t="s">
        <v>16</v>
      </c>
      <c r="C39" s="1" t="str">
        <f>VLOOKUP(B39,רשויות_ענף_כלכלי__2ספרות_!$J$2:$L$115,3,FALSE)</f>
        <v>חינוך</v>
      </c>
      <c r="D39" s="1">
        <v>59122</v>
      </c>
      <c r="E39" s="2">
        <v>10663.384815064735</v>
      </c>
      <c r="O39" t="s">
        <v>178</v>
      </c>
      <c r="P39">
        <v>6768.9292936943675</v>
      </c>
      <c r="Q39">
        <v>6794.7196769755128</v>
      </c>
      <c r="R39">
        <f>AVERAGE(P39:P58)</f>
        <v>11551.915933216918</v>
      </c>
      <c r="S39">
        <f>AVERAGE(Q39:Q58)</f>
        <v>13515.113899305661</v>
      </c>
    </row>
    <row r="40" spans="1:19" x14ac:dyDescent="0.2">
      <c r="A40" s="1" t="s">
        <v>42</v>
      </c>
      <c r="B40" s="1" t="s">
        <v>17</v>
      </c>
      <c r="C40" s="1" t="str">
        <f>VLOOKUP(B40,רשויות_ענף_כלכלי__2ספרות_!$J$2:$L$115,3,FALSE)</f>
        <v>שירותי בריאות, רווחה וסעד</v>
      </c>
      <c r="D40" s="1">
        <v>69621</v>
      </c>
      <c r="E40" s="2">
        <v>8269.8853009537816</v>
      </c>
      <c r="O40" t="s">
        <v>119</v>
      </c>
      <c r="P40">
        <v>22344.183437761072</v>
      </c>
      <c r="Q40">
        <v>27517.288275347466</v>
      </c>
      <c r="R40">
        <v>11551.915933216918</v>
      </c>
      <c r="S40">
        <v>13515.113899305661</v>
      </c>
    </row>
    <row r="41" spans="1:19" x14ac:dyDescent="0.2">
      <c r="A41" s="1" t="s">
        <v>42</v>
      </c>
      <c r="B41" s="1" t="s">
        <v>18</v>
      </c>
      <c r="C41" s="1" t="str">
        <f>VLOOKUP(B41,רשויות_ענף_כלכלי__2ספרות_!$J$2:$L$115,3,FALSE)</f>
        <v>אמנות, בידור ופנאי</v>
      </c>
      <c r="D41" s="1">
        <v>8181</v>
      </c>
      <c r="E41" s="2">
        <v>7019.4053183316901</v>
      </c>
      <c r="O41" t="s">
        <v>121</v>
      </c>
      <c r="P41">
        <v>15086.191980270938</v>
      </c>
      <c r="Q41">
        <v>14015.040980811018</v>
      </c>
      <c r="R41">
        <v>11551.915933216918</v>
      </c>
      <c r="S41">
        <v>13515.113899305661</v>
      </c>
    </row>
    <row r="42" spans="1:19" x14ac:dyDescent="0.2">
      <c r="A42" s="1" t="s">
        <v>42</v>
      </c>
      <c r="B42" s="1" t="s">
        <v>19</v>
      </c>
      <c r="C42" s="1" t="str">
        <f>VLOOKUP(B42,רשויות_ענף_כלכלי__2ספרות_!$J$2:$L$115,3,FALSE)</f>
        <v>שירותים אחרים</v>
      </c>
      <c r="D42" s="1">
        <v>23730</v>
      </c>
      <c r="E42" s="2">
        <v>6143.1605139256126</v>
      </c>
      <c r="O42" t="s">
        <v>191</v>
      </c>
      <c r="P42">
        <v>13491.191086691086</v>
      </c>
      <c r="Q42">
        <v>17773.102320636437</v>
      </c>
      <c r="R42">
        <v>11551.915933216918</v>
      </c>
      <c r="S42">
        <v>13515.113899305661</v>
      </c>
    </row>
    <row r="43" spans="1:19" x14ac:dyDescent="0.2">
      <c r="A43" s="1" t="s">
        <v>42</v>
      </c>
      <c r="B43" s="1" t="s">
        <v>41</v>
      </c>
      <c r="C43" s="1" t="str">
        <f>VLOOKUP(B43,רשויות_ענף_כלכלי__2ספרות_!$J$2:$L$115,3,FALSE)</f>
        <v>ארגונים וגופים חוץ-מדינתיים</v>
      </c>
      <c r="D43" s="1">
        <v>46</v>
      </c>
      <c r="E43" s="2">
        <v>17448.40231115503</v>
      </c>
      <c r="O43" t="s">
        <v>126</v>
      </c>
      <c r="P43">
        <v>8594.0468541356695</v>
      </c>
      <c r="Q43">
        <v>11320.915219483777</v>
      </c>
      <c r="R43">
        <v>11551.915933216918</v>
      </c>
      <c r="S43">
        <v>13515.113899305661</v>
      </c>
    </row>
    <row r="44" spans="1:19" x14ac:dyDescent="0.2">
      <c r="A44" s="1" t="s">
        <v>43</v>
      </c>
      <c r="B44" s="1" t="s">
        <v>2</v>
      </c>
      <c r="D44" s="1">
        <v>14820</v>
      </c>
      <c r="E44" s="2">
        <v>19856.79445790096</v>
      </c>
      <c r="O44" t="s">
        <v>173</v>
      </c>
      <c r="P44">
        <v>10469.97869227929</v>
      </c>
      <c r="Q44">
        <v>10293.101323450195</v>
      </c>
      <c r="R44">
        <v>11551.915933216918</v>
      </c>
      <c r="S44">
        <v>13515.113899305661</v>
      </c>
    </row>
    <row r="45" spans="1:19" x14ac:dyDescent="0.2">
      <c r="A45" s="1" t="s">
        <v>43</v>
      </c>
      <c r="B45" s="1" t="s">
        <v>3</v>
      </c>
      <c r="C45" s="1" t="str">
        <f>VLOOKUP(B45,רשויות_ענף_כלכלי__2ספרות_!$J$2:$L$115,3,FALSE)</f>
        <v>חקלאות, ייעור ודיג</v>
      </c>
      <c r="D45" s="1">
        <v>6338</v>
      </c>
      <c r="E45" s="2">
        <v>8493.061049291764</v>
      </c>
      <c r="O45" t="s">
        <v>82</v>
      </c>
      <c r="P45">
        <v>13532.036069626356</v>
      </c>
      <c r="Q45">
        <v>13845.313914173759</v>
      </c>
      <c r="R45">
        <v>11551.915933216918</v>
      </c>
      <c r="S45">
        <v>13515.113899305661</v>
      </c>
    </row>
    <row r="46" spans="1:19" x14ac:dyDescent="0.2">
      <c r="A46" s="1" t="s">
        <v>43</v>
      </c>
      <c r="B46" s="1" t="s">
        <v>24</v>
      </c>
      <c r="C46" s="1" t="str">
        <f>VLOOKUP(B46,רשויות_ענף_כלכלי__2ספרות_!$J$2:$L$115,3,FALSE)</f>
        <v>כרייה וחציבה</v>
      </c>
      <c r="D46" s="1">
        <v>409</v>
      </c>
      <c r="E46" s="2">
        <v>21114.719003429342</v>
      </c>
      <c r="O46" t="s">
        <v>87</v>
      </c>
      <c r="P46">
        <v>17832.677319902312</v>
      </c>
      <c r="Q46">
        <v>23360.191984314457</v>
      </c>
      <c r="R46">
        <v>11551.915933216918</v>
      </c>
      <c r="S46">
        <v>13515.113899305661</v>
      </c>
    </row>
    <row r="47" spans="1:19" x14ac:dyDescent="0.2">
      <c r="A47" s="1" t="s">
        <v>43</v>
      </c>
      <c r="B47" s="1" t="s">
        <v>4</v>
      </c>
      <c r="C47" s="1" t="str">
        <f>VLOOKUP(B47,רשויות_ענף_כלכלי__2ספרות_!$J$2:$L$115,3,FALSE)</f>
        <v>תעשייה</v>
      </c>
      <c r="D47" s="1">
        <v>52466</v>
      </c>
      <c r="E47" s="2">
        <v>15981.59334499195</v>
      </c>
      <c r="O47" t="s">
        <v>143</v>
      </c>
      <c r="P47">
        <v>18955.910744194385</v>
      </c>
      <c r="Q47">
        <v>23148.139877968417</v>
      </c>
      <c r="R47">
        <v>11551.915933216918</v>
      </c>
      <c r="S47">
        <v>13515.113899305661</v>
      </c>
    </row>
    <row r="48" spans="1:19" x14ac:dyDescent="0.2">
      <c r="A48" s="1" t="s">
        <v>43</v>
      </c>
      <c r="B48" s="1" t="s">
        <v>22</v>
      </c>
      <c r="C48" s="1" t="str">
        <f>VLOOKUP(B48,רשויות_ענף_כלכלי__2ספרות_!$J$2:$L$115,3,FALSE)</f>
        <v>אספקת חשמל, גז, קיטור ומיזוג אוויר</v>
      </c>
      <c r="D48" s="1">
        <v>3802</v>
      </c>
      <c r="E48" s="2">
        <v>30523.102705618257</v>
      </c>
      <c r="O48" t="s">
        <v>170</v>
      </c>
      <c r="P48">
        <v>11608.868347650718</v>
      </c>
      <c r="Q48">
        <v>12388.606935182615</v>
      </c>
      <c r="R48">
        <v>11551.915933216918</v>
      </c>
      <c r="S48">
        <v>13515.113899305661</v>
      </c>
    </row>
    <row r="49" spans="1:19" x14ac:dyDescent="0.2">
      <c r="A49" s="1" t="s">
        <v>43</v>
      </c>
      <c r="B49" s="1" t="s">
        <v>5</v>
      </c>
      <c r="C49" s="1" t="str">
        <f>VLOOKUP(B49,רשויות_ענף_כלכלי__2ספרות_!$J$2:$L$115,3,FALSE)</f>
        <v>אספקת מים; שירותי ביוב, טיפול באשפה ובפסולת ושירותי טיהור</v>
      </c>
      <c r="D49" s="1">
        <v>1691</v>
      </c>
      <c r="E49" s="2">
        <v>13794.101031221229</v>
      </c>
      <c r="O49" t="s">
        <v>130</v>
      </c>
      <c r="P49">
        <v>7873.3291539275297</v>
      </c>
      <c r="Q49">
        <v>9094.6632318522825</v>
      </c>
      <c r="R49">
        <v>11551.915933216918</v>
      </c>
      <c r="S49">
        <v>13515.113899305661</v>
      </c>
    </row>
    <row r="50" spans="1:19" x14ac:dyDescent="0.2">
      <c r="A50" s="1" t="s">
        <v>43</v>
      </c>
      <c r="B50" s="1" t="s">
        <v>6</v>
      </c>
      <c r="C50" s="1" t="str">
        <f>VLOOKUP(B50,רשויות_ענף_כלכלי__2ספרות_!$J$2:$L$115,3,FALSE)</f>
        <v>בינוי</v>
      </c>
      <c r="D50" s="1">
        <v>30349</v>
      </c>
      <c r="E50" s="2">
        <v>10656.474528735111</v>
      </c>
      <c r="O50" t="s">
        <v>154</v>
      </c>
      <c r="P50">
        <v>11414.499252657064</v>
      </c>
      <c r="Q50">
        <v>12578.140648149647</v>
      </c>
      <c r="R50">
        <v>11551.915933216918</v>
      </c>
      <c r="S50">
        <v>13515.113899305661</v>
      </c>
    </row>
    <row r="51" spans="1:19" x14ac:dyDescent="0.2">
      <c r="A51" s="1" t="s">
        <v>43</v>
      </c>
      <c r="B51" s="1" t="s">
        <v>7</v>
      </c>
      <c r="C51" s="1" t="str">
        <f>VLOOKUP(B51,רשויות_ענף_כלכלי__2ספרות_!$J$2:$L$115,3,FALSE)</f>
        <v>מסחר סיטוני וקמעוני; תיקון כלי רכב מנועיים ואופנועים</v>
      </c>
      <c r="D51" s="1">
        <v>68834</v>
      </c>
      <c r="E51" s="2">
        <v>9359.7986218584992</v>
      </c>
      <c r="O51" t="s">
        <v>140</v>
      </c>
      <c r="P51">
        <v>5638.7304681440437</v>
      </c>
      <c r="Q51">
        <v>5469.0017479461139</v>
      </c>
      <c r="R51">
        <v>11551.915933216918</v>
      </c>
      <c r="S51">
        <v>13515.113899305661</v>
      </c>
    </row>
    <row r="52" spans="1:19" x14ac:dyDescent="0.2">
      <c r="A52" s="1" t="s">
        <v>43</v>
      </c>
      <c r="B52" s="1" t="s">
        <v>8</v>
      </c>
      <c r="C52" s="1" t="str">
        <f>VLOOKUP(B52,רשויות_ענף_כלכלי__2ספרות_!$J$2:$L$115,3,FALSE)</f>
        <v>שירותי תחבורה, אחסנה, דואר ובלדרות</v>
      </c>
      <c r="D52" s="1">
        <v>19649</v>
      </c>
      <c r="E52" s="2">
        <v>13797.428358666881</v>
      </c>
      <c r="O52" t="s">
        <v>174</v>
      </c>
      <c r="P52">
        <v>7022.5052718076649</v>
      </c>
      <c r="Q52">
        <v>8447.0787992758924</v>
      </c>
      <c r="R52">
        <v>11551.915933216918</v>
      </c>
      <c r="S52">
        <v>13515.113899305661</v>
      </c>
    </row>
    <row r="53" spans="1:19" x14ac:dyDescent="0.2">
      <c r="A53" s="1" t="s">
        <v>43</v>
      </c>
      <c r="B53" s="1" t="s">
        <v>9</v>
      </c>
      <c r="C53" s="1" t="str">
        <f>VLOOKUP(B53,רשויות_ענף_כלכלי__2ספרות_!$J$2:$L$115,3,FALSE)</f>
        <v>שירותי אירוח ואוכל</v>
      </c>
      <c r="D53" s="1">
        <v>33868</v>
      </c>
      <c r="E53" s="2">
        <v>5105.2023921430246</v>
      </c>
      <c r="O53" t="s">
        <v>163</v>
      </c>
      <c r="P53">
        <v>6188.4993867388839</v>
      </c>
      <c r="Q53">
        <v>7000.1503577484045</v>
      </c>
      <c r="R53">
        <v>11551.915933216918</v>
      </c>
      <c r="S53">
        <v>13515.113899305661</v>
      </c>
    </row>
    <row r="54" spans="1:19" x14ac:dyDescent="0.2">
      <c r="A54" s="1" t="s">
        <v>43</v>
      </c>
      <c r="B54" s="1" t="s">
        <v>10</v>
      </c>
      <c r="C54" s="1" t="str">
        <f>VLOOKUP(B54,רשויות_ענף_כלכלי__2ספרות_!$J$2:$L$115,3,FALSE)</f>
        <v>מידע ותקשורת</v>
      </c>
      <c r="D54" s="1">
        <v>23230</v>
      </c>
      <c r="E54" s="2">
        <v>24356.973139813981</v>
      </c>
      <c r="O54" t="s">
        <v>134</v>
      </c>
      <c r="P54">
        <v>10064.828741200567</v>
      </c>
      <c r="Q54">
        <v>12036.581479741879</v>
      </c>
      <c r="R54">
        <v>11551.915933216918</v>
      </c>
      <c r="S54">
        <v>13515.113899305661</v>
      </c>
    </row>
    <row r="55" spans="1:19" x14ac:dyDescent="0.2">
      <c r="A55" s="1" t="s">
        <v>43</v>
      </c>
      <c r="B55" s="1" t="s">
        <v>11</v>
      </c>
      <c r="C55" s="1" t="str">
        <f>VLOOKUP(B55,רשויות_ענף_כלכלי__2ספרות_!$J$2:$L$115,3,FALSE)</f>
        <v>שירותים פיננסיים ושירותי ביטוח</v>
      </c>
      <c r="D55" s="1">
        <v>10525</v>
      </c>
      <c r="E55" s="2">
        <v>17743.833676267215</v>
      </c>
      <c r="O55" t="s">
        <v>183</v>
      </c>
      <c r="P55">
        <v>6201.0555660582631</v>
      </c>
      <c r="Q55">
        <v>6615.5854240179506</v>
      </c>
      <c r="R55">
        <v>11551.915933216918</v>
      </c>
      <c r="S55">
        <v>13515.113899305661</v>
      </c>
    </row>
    <row r="56" spans="1:19" x14ac:dyDescent="0.2">
      <c r="A56" s="1" t="s">
        <v>43</v>
      </c>
      <c r="B56" s="1" t="s">
        <v>12</v>
      </c>
      <c r="C56" s="1" t="str">
        <f>VLOOKUP(B56,רשויות_ענף_כלכלי__2ספרות_!$J$2:$L$115,3,FALSE)</f>
        <v>פעילויות בנדל"ן</v>
      </c>
      <c r="D56" s="1">
        <v>3763</v>
      </c>
      <c r="E56" s="2">
        <v>12534.490945501482</v>
      </c>
      <c r="O56" t="s">
        <v>155</v>
      </c>
      <c r="P56">
        <v>11334.503463426914</v>
      </c>
      <c r="Q56">
        <v>14608.934920902188</v>
      </c>
      <c r="R56">
        <v>11551.915933216918</v>
      </c>
      <c r="S56">
        <v>13515.113899305661</v>
      </c>
    </row>
    <row r="57" spans="1:19" x14ac:dyDescent="0.2">
      <c r="A57" s="1" t="s">
        <v>43</v>
      </c>
      <c r="B57" s="1" t="s">
        <v>13</v>
      </c>
      <c r="C57" s="1" t="str">
        <f>VLOOKUP(B57,רשויות_ענף_כלכלי__2ספרות_!$J$2:$L$115,3,FALSE)</f>
        <v>שירותים מקצועיים, מדעיים וטכניים</v>
      </c>
      <c r="D57" s="1">
        <v>33833</v>
      </c>
      <c r="E57" s="2">
        <v>16279.244975277337</v>
      </c>
      <c r="O57" t="s">
        <v>150</v>
      </c>
      <c r="P57">
        <v>14380.111017982228</v>
      </c>
      <c r="Q57">
        <v>18484.837968361495</v>
      </c>
      <c r="R57">
        <v>11551.915933216918</v>
      </c>
      <c r="S57">
        <v>13515.113899305661</v>
      </c>
    </row>
    <row r="58" spans="1:19" x14ac:dyDescent="0.2">
      <c r="A58" s="1" t="s">
        <v>43</v>
      </c>
      <c r="B58" s="1" t="s">
        <v>14</v>
      </c>
      <c r="C58" s="1" t="str">
        <f>VLOOKUP(B58,רשויות_ענף_כלכלי__2ספרות_!$J$2:$L$115,3,FALSE)</f>
        <v>שירותי ניהול ותמיכה</v>
      </c>
      <c r="D58" s="1">
        <v>37659</v>
      </c>
      <c r="E58" s="2">
        <v>6656.3170329893392</v>
      </c>
      <c r="O58" t="s">
        <v>93</v>
      </c>
      <c r="P58">
        <v>12236.242516189024</v>
      </c>
      <c r="Q58">
        <v>15510.882899773682</v>
      </c>
      <c r="R58">
        <v>11551.915933216918</v>
      </c>
      <c r="S58">
        <v>13515.113899305661</v>
      </c>
    </row>
    <row r="59" spans="1:19" x14ac:dyDescent="0.2">
      <c r="A59" s="1" t="s">
        <v>43</v>
      </c>
      <c r="B59" s="1" t="s">
        <v>15</v>
      </c>
      <c r="C59" s="1" t="str">
        <f>VLOOKUP(B59,רשויות_ענף_כלכלי__2ספרות_!$J$2:$L$115,3,FALSE)</f>
        <v>מינהל מקומי, מינהל ציבורי וביטחון; ביטוח לאומי חובה</v>
      </c>
      <c r="D59" s="1">
        <v>36966</v>
      </c>
      <c r="E59" s="2">
        <v>12899.628508901858</v>
      </c>
    </row>
    <row r="60" spans="1:19" x14ac:dyDescent="0.2">
      <c r="A60" s="1" t="s">
        <v>43</v>
      </c>
      <c r="B60" s="1" t="s">
        <v>16</v>
      </c>
      <c r="C60" s="1" t="str">
        <f>VLOOKUP(B60,רשויות_ענף_כלכלי__2ספרות_!$J$2:$L$115,3,FALSE)</f>
        <v>חינוך</v>
      </c>
      <c r="D60" s="1">
        <v>47055</v>
      </c>
      <c r="E60" s="2">
        <v>11241.57430604143</v>
      </c>
    </row>
    <row r="61" spans="1:19" x14ac:dyDescent="0.2">
      <c r="A61" s="1" t="s">
        <v>43</v>
      </c>
      <c r="B61" s="1" t="s">
        <v>17</v>
      </c>
      <c r="C61" s="1" t="str">
        <f>VLOOKUP(B61,רשויות_ענף_כלכלי__2ספרות_!$J$2:$L$115,3,FALSE)</f>
        <v>שירותי בריאות, רווחה וסעד</v>
      </c>
      <c r="D61" s="1">
        <v>62279</v>
      </c>
      <c r="E61" s="2">
        <v>7998.6005580402243</v>
      </c>
    </row>
    <row r="62" spans="1:19" x14ac:dyDescent="0.2">
      <c r="A62" s="1" t="s">
        <v>43</v>
      </c>
      <c r="B62" s="1" t="s">
        <v>18</v>
      </c>
      <c r="C62" s="1" t="str">
        <f>VLOOKUP(B62,רשויות_ענף_כלכלי__2ספרות_!$J$2:$L$115,3,FALSE)</f>
        <v>אמנות, בידור ופנאי</v>
      </c>
      <c r="D62" s="1">
        <v>7610</v>
      </c>
      <c r="E62" s="2">
        <v>6135.3687178050486</v>
      </c>
    </row>
    <row r="63" spans="1:19" x14ac:dyDescent="0.2">
      <c r="A63" s="1" t="s">
        <v>43</v>
      </c>
      <c r="B63" s="1" t="s">
        <v>19</v>
      </c>
      <c r="C63" s="1" t="str">
        <f>VLOOKUP(B63,רשויות_ענף_כלכלי__2ספרות_!$J$2:$L$115,3,FALSE)</f>
        <v>שירותים אחרים</v>
      </c>
      <c r="D63" s="1">
        <v>12465</v>
      </c>
      <c r="E63" s="2">
        <v>6648.8934770170245</v>
      </c>
    </row>
    <row r="64" spans="1:19" x14ac:dyDescent="0.2">
      <c r="A64" s="1" t="s">
        <v>43</v>
      </c>
      <c r="B64" s="1" t="s">
        <v>41</v>
      </c>
      <c r="C64" s="1" t="str">
        <f>VLOOKUP(B64,רשויות_ענף_כלכלי__2ספרות_!$J$2:$L$115,3,FALSE)</f>
        <v>ארגונים וגופים חוץ-מדינתיים</v>
      </c>
      <c r="D64" s="1">
        <v>64</v>
      </c>
      <c r="E64" s="2">
        <v>16382.31220012626</v>
      </c>
    </row>
    <row r="65" spans="1:5" x14ac:dyDescent="0.2">
      <c r="A65" s="1" t="s">
        <v>44</v>
      </c>
      <c r="B65" s="1" t="s">
        <v>2</v>
      </c>
      <c r="D65" s="1">
        <v>11718</v>
      </c>
      <c r="E65" s="2">
        <v>18229.625532259972</v>
      </c>
    </row>
    <row r="66" spans="1:5" x14ac:dyDescent="0.2">
      <c r="A66" s="1" t="s">
        <v>44</v>
      </c>
      <c r="B66" s="1" t="s">
        <v>3</v>
      </c>
      <c r="C66" s="1" t="str">
        <f>VLOOKUP(B66,רשויות_ענף_כלכלי__2ספרות_!$J$2:$L$115,3,FALSE)</f>
        <v>חקלאות, ייעור ודיג</v>
      </c>
      <c r="D66" s="1">
        <v>1978</v>
      </c>
      <c r="E66" s="2">
        <v>9594.2312594747273</v>
      </c>
    </row>
    <row r="67" spans="1:5" x14ac:dyDescent="0.2">
      <c r="A67" s="1" t="s">
        <v>44</v>
      </c>
      <c r="B67" s="1" t="s">
        <v>24</v>
      </c>
      <c r="C67" s="1" t="str">
        <f>VLOOKUP(B67,רשויות_ענף_כלכלי__2ספרות_!$J$2:$L$115,3,FALSE)</f>
        <v>כרייה וחציבה</v>
      </c>
      <c r="D67" s="1">
        <v>190</v>
      </c>
      <c r="E67" s="2">
        <v>16066.058400926557</v>
      </c>
    </row>
    <row r="68" spans="1:5" x14ac:dyDescent="0.2">
      <c r="A68" s="1" t="s">
        <v>44</v>
      </c>
      <c r="B68" s="1" t="s">
        <v>4</v>
      </c>
      <c r="C68" s="1" t="str">
        <f>VLOOKUP(B68,רשויות_ענף_כלכלי__2ספרות_!$J$2:$L$115,3,FALSE)</f>
        <v>תעשייה</v>
      </c>
      <c r="D68" s="1">
        <v>18326</v>
      </c>
      <c r="E68" s="2">
        <v>13431.295419629871</v>
      </c>
    </row>
    <row r="69" spans="1:5" x14ac:dyDescent="0.2">
      <c r="A69" s="1" t="s">
        <v>44</v>
      </c>
      <c r="B69" s="1" t="s">
        <v>22</v>
      </c>
      <c r="C69" s="1" t="str">
        <f>VLOOKUP(B69,רשויות_ענף_כלכלי__2ספרות_!$J$2:$L$115,3,FALSE)</f>
        <v>אספקת חשמל, גז, קיטור ומיזוג אוויר</v>
      </c>
      <c r="D69" s="1">
        <v>987</v>
      </c>
      <c r="E69" s="2">
        <v>22878.199597692073</v>
      </c>
    </row>
    <row r="70" spans="1:5" x14ac:dyDescent="0.2">
      <c r="A70" s="1" t="s">
        <v>44</v>
      </c>
      <c r="B70" s="1" t="s">
        <v>5</v>
      </c>
      <c r="C70" s="1" t="str">
        <f>VLOOKUP(B70,רשויות_ענף_כלכלי__2ספרות_!$J$2:$L$115,3,FALSE)</f>
        <v>אספקת מים; שירותי ביוב, טיפול באשפה ובפסולת ושירותי טיהור</v>
      </c>
      <c r="D70" s="1">
        <v>1585</v>
      </c>
      <c r="E70" s="2">
        <v>10211.798184344572</v>
      </c>
    </row>
    <row r="71" spans="1:5" x14ac:dyDescent="0.2">
      <c r="A71" s="1" t="s">
        <v>44</v>
      </c>
      <c r="B71" s="1" t="s">
        <v>6</v>
      </c>
      <c r="C71" s="1" t="str">
        <f>VLOOKUP(B71,רשויות_ענף_כלכלי__2ספרות_!$J$2:$L$115,3,FALSE)</f>
        <v>בינוי</v>
      </c>
      <c r="D71" s="1">
        <v>27576</v>
      </c>
      <c r="E71" s="2">
        <v>8916.2721435665044</v>
      </c>
    </row>
    <row r="72" spans="1:5" x14ac:dyDescent="0.2">
      <c r="A72" s="1" t="s">
        <v>44</v>
      </c>
      <c r="B72" s="1" t="s">
        <v>7</v>
      </c>
      <c r="C72" s="1" t="str">
        <f>VLOOKUP(B72,רשויות_ענף_כלכלי__2ספרות_!$J$2:$L$115,3,FALSE)</f>
        <v>מסחר סיטוני וקמעוני; תיקון כלי רכב מנועיים ואופנועים</v>
      </c>
      <c r="D72" s="1">
        <v>52494</v>
      </c>
      <c r="E72" s="2">
        <v>7686.4273609288248</v>
      </c>
    </row>
    <row r="73" spans="1:5" x14ac:dyDescent="0.2">
      <c r="A73" s="1" t="s">
        <v>44</v>
      </c>
      <c r="B73" s="1" t="s">
        <v>8</v>
      </c>
      <c r="C73" s="1" t="str">
        <f>VLOOKUP(B73,רשויות_ענף_כלכלי__2ספרות_!$J$2:$L$115,3,FALSE)</f>
        <v>שירותי תחבורה, אחסנה, דואר ובלדרות</v>
      </c>
      <c r="D73" s="1">
        <v>18022</v>
      </c>
      <c r="E73" s="2">
        <v>9744.8237800905554</v>
      </c>
    </row>
    <row r="74" spans="1:5" x14ac:dyDescent="0.2">
      <c r="A74" s="1" t="s">
        <v>44</v>
      </c>
      <c r="B74" s="1" t="s">
        <v>9</v>
      </c>
      <c r="C74" s="1" t="str">
        <f>VLOOKUP(B74,רשויות_ענף_כלכלי__2ספרות_!$J$2:$L$115,3,FALSE)</f>
        <v>שירותי אירוח ואוכל</v>
      </c>
      <c r="D74" s="1">
        <v>30571</v>
      </c>
      <c r="E74" s="2">
        <v>5857.2449053189403</v>
      </c>
    </row>
    <row r="75" spans="1:5" x14ac:dyDescent="0.2">
      <c r="A75" s="1" t="s">
        <v>44</v>
      </c>
      <c r="B75" s="1" t="s">
        <v>10</v>
      </c>
      <c r="C75" s="1" t="str">
        <f>VLOOKUP(B75,רשויות_ענף_כלכלי__2ספרות_!$J$2:$L$115,3,FALSE)</f>
        <v>מידע ותקשורת</v>
      </c>
      <c r="D75" s="1">
        <v>17298</v>
      </c>
      <c r="E75" s="2">
        <v>19873.731703579262</v>
      </c>
    </row>
    <row r="76" spans="1:5" x14ac:dyDescent="0.2">
      <c r="A76" s="1" t="s">
        <v>44</v>
      </c>
      <c r="B76" s="1" t="s">
        <v>11</v>
      </c>
      <c r="C76" s="1" t="str">
        <f>VLOOKUP(B76,רשויות_ענף_כלכלי__2ספרות_!$J$2:$L$115,3,FALSE)</f>
        <v>שירותים פיננסיים ושירותי ביטוח</v>
      </c>
      <c r="D76" s="1">
        <v>6730</v>
      </c>
      <c r="E76" s="2">
        <v>19067.109164340309</v>
      </c>
    </row>
    <row r="77" spans="1:5" x14ac:dyDescent="0.2">
      <c r="A77" s="1" t="s">
        <v>44</v>
      </c>
      <c r="B77" s="1" t="s">
        <v>12</v>
      </c>
      <c r="C77" s="1" t="str">
        <f>VLOOKUP(B77,רשויות_ענף_כלכלי__2ספרות_!$J$2:$L$115,3,FALSE)</f>
        <v>פעילויות בנדל"ן</v>
      </c>
      <c r="D77" s="1">
        <v>3585</v>
      </c>
      <c r="E77" s="2">
        <v>11589.133630688222</v>
      </c>
    </row>
    <row r="78" spans="1:5" x14ac:dyDescent="0.2">
      <c r="A78" s="1" t="s">
        <v>44</v>
      </c>
      <c r="B78" s="1" t="s">
        <v>13</v>
      </c>
      <c r="C78" s="1" t="str">
        <f>VLOOKUP(B78,רשויות_ענף_כלכלי__2ספרות_!$J$2:$L$115,3,FALSE)</f>
        <v>שירותים מקצועיים, מדעיים וטכניים</v>
      </c>
      <c r="D78" s="1">
        <v>23244</v>
      </c>
      <c r="E78" s="2">
        <v>12806.090418789139</v>
      </c>
    </row>
    <row r="79" spans="1:5" x14ac:dyDescent="0.2">
      <c r="A79" s="1" t="s">
        <v>44</v>
      </c>
      <c r="B79" s="1" t="s">
        <v>14</v>
      </c>
      <c r="C79" s="1" t="str">
        <f>VLOOKUP(B79,רשויות_ענף_כלכלי__2ספרות_!$J$2:$L$115,3,FALSE)</f>
        <v>שירותי ניהול ותמיכה</v>
      </c>
      <c r="D79" s="1">
        <v>34891</v>
      </c>
      <c r="E79" s="2">
        <v>6559.6867021095095</v>
      </c>
    </row>
    <row r="80" spans="1:5" x14ac:dyDescent="0.2">
      <c r="A80" s="1" t="s">
        <v>44</v>
      </c>
      <c r="B80" s="1" t="s">
        <v>15</v>
      </c>
      <c r="C80" s="1" t="str">
        <f>VLOOKUP(B80,רשויות_ענף_כלכלי__2ספרות_!$J$2:$L$115,3,FALSE)</f>
        <v>מינהל מקומי, מינהל ציבורי וביטחון; ביטוח לאומי חובה</v>
      </c>
      <c r="D80" s="1">
        <v>26755</v>
      </c>
      <c r="E80" s="2">
        <v>13510.56003901166</v>
      </c>
    </row>
    <row r="81" spans="1:5" x14ac:dyDescent="0.2">
      <c r="A81" s="1" t="s">
        <v>44</v>
      </c>
      <c r="B81" s="1" t="s">
        <v>16</v>
      </c>
      <c r="C81" s="1" t="str">
        <f>VLOOKUP(B81,רשויות_ענף_כלכלי__2ספרות_!$J$2:$L$115,3,FALSE)</f>
        <v>חינוך</v>
      </c>
      <c r="D81" s="1">
        <v>68613</v>
      </c>
      <c r="E81" s="2">
        <v>8847.2289277498385</v>
      </c>
    </row>
    <row r="82" spans="1:5" x14ac:dyDescent="0.2">
      <c r="A82" s="1" t="s">
        <v>44</v>
      </c>
      <c r="B82" s="1" t="s">
        <v>17</v>
      </c>
      <c r="C82" s="1" t="str">
        <f>VLOOKUP(B82,רשויות_ענף_כלכלי__2ספרות_!$J$2:$L$115,3,FALSE)</f>
        <v>שירותי בריאות, רווחה וסעד</v>
      </c>
      <c r="D82" s="1">
        <v>60496</v>
      </c>
      <c r="E82" s="2">
        <v>8476.8257714222964</v>
      </c>
    </row>
    <row r="83" spans="1:5" x14ac:dyDescent="0.2">
      <c r="A83" s="1" t="s">
        <v>44</v>
      </c>
      <c r="B83" s="1" t="s">
        <v>18</v>
      </c>
      <c r="C83" s="1" t="str">
        <f>VLOOKUP(B83,רשויות_ענף_כלכלי__2ספרות_!$J$2:$L$115,3,FALSE)</f>
        <v>אמנות, בידור ופנאי</v>
      </c>
      <c r="D83" s="1">
        <v>7334</v>
      </c>
      <c r="E83" s="2">
        <v>7273.3308895472373</v>
      </c>
    </row>
    <row r="84" spans="1:5" x14ac:dyDescent="0.2">
      <c r="A84" s="1" t="s">
        <v>44</v>
      </c>
      <c r="B84" s="1" t="s">
        <v>19</v>
      </c>
      <c r="C84" s="1" t="str">
        <f>VLOOKUP(B84,רשויות_ענף_כלכלי__2ספרות_!$J$2:$L$115,3,FALSE)</f>
        <v>שירותים אחרים</v>
      </c>
      <c r="D84" s="1">
        <v>20243</v>
      </c>
      <c r="E84" s="2">
        <v>6293.5425601773841</v>
      </c>
    </row>
    <row r="85" spans="1:5" x14ac:dyDescent="0.2">
      <c r="A85" s="1" t="s">
        <v>44</v>
      </c>
      <c r="B85" s="1" t="s">
        <v>41</v>
      </c>
      <c r="C85" s="1" t="str">
        <f>VLOOKUP(B85,רשויות_ענף_כלכלי__2ספרות_!$J$2:$L$115,3,FALSE)</f>
        <v>ארגונים וגופים חוץ-מדינתיים</v>
      </c>
      <c r="D85" s="1">
        <v>679</v>
      </c>
      <c r="E85" s="2">
        <v>19020.572895321835</v>
      </c>
    </row>
    <row r="86" spans="1:5" x14ac:dyDescent="0.2">
      <c r="A86" s="1" t="s">
        <v>45</v>
      </c>
      <c r="B86" s="1" t="s">
        <v>2</v>
      </c>
      <c r="D86" s="1">
        <v>16629</v>
      </c>
      <c r="E86" s="2">
        <v>19590.035324354925</v>
      </c>
    </row>
    <row r="87" spans="1:5" x14ac:dyDescent="0.2">
      <c r="A87" s="1" t="s">
        <v>45</v>
      </c>
      <c r="B87" s="1" t="s">
        <v>3</v>
      </c>
      <c r="C87" s="1" t="str">
        <f>VLOOKUP(B87,רשויות_ענף_כלכלי__2ספרות_!$J$2:$L$115,3,FALSE)</f>
        <v>חקלאות, ייעור ודיג</v>
      </c>
      <c r="D87" s="1">
        <v>15821</v>
      </c>
      <c r="E87" s="2">
        <v>7379.4047096037712</v>
      </c>
    </row>
    <row r="88" spans="1:5" x14ac:dyDescent="0.2">
      <c r="A88" s="1" t="s">
        <v>45</v>
      </c>
      <c r="B88" s="1" t="s">
        <v>24</v>
      </c>
      <c r="C88" s="1" t="str">
        <f>VLOOKUP(B88,רשויות_ענף_כלכלי__2ספרות_!$J$2:$L$115,3,FALSE)</f>
        <v>כרייה וחציבה</v>
      </c>
      <c r="D88" s="1">
        <v>535</v>
      </c>
      <c r="E88" s="2">
        <v>16912.906660732817</v>
      </c>
    </row>
    <row r="89" spans="1:5" x14ac:dyDescent="0.2">
      <c r="A89" s="1" t="s">
        <v>45</v>
      </c>
      <c r="B89" s="1" t="s">
        <v>4</v>
      </c>
      <c r="C89" s="1" t="str">
        <f>VLOOKUP(B89,רשויות_ענף_כלכלי__2ספרות_!$J$2:$L$115,3,FALSE)</f>
        <v>תעשייה</v>
      </c>
      <c r="D89" s="1">
        <v>84699</v>
      </c>
      <c r="E89" s="2">
        <v>12463.319726305637</v>
      </c>
    </row>
    <row r="90" spans="1:5" x14ac:dyDescent="0.2">
      <c r="A90" s="1" t="s">
        <v>45</v>
      </c>
      <c r="B90" s="1" t="s">
        <v>22</v>
      </c>
      <c r="C90" s="1" t="str">
        <f>VLOOKUP(B90,רשויות_ענף_כלכלי__2ספרות_!$J$2:$L$115,3,FALSE)</f>
        <v>אספקת חשמל, גז, קיטור ומיזוג אוויר</v>
      </c>
      <c r="D90" s="1">
        <v>1575</v>
      </c>
      <c r="E90" s="2">
        <v>28054.89095490046</v>
      </c>
    </row>
    <row r="91" spans="1:5" x14ac:dyDescent="0.2">
      <c r="A91" s="1" t="s">
        <v>45</v>
      </c>
      <c r="B91" s="1" t="s">
        <v>5</v>
      </c>
      <c r="C91" s="1" t="str">
        <f>VLOOKUP(B91,רשויות_ענף_כלכלי__2ספרות_!$J$2:$L$115,3,FALSE)</f>
        <v>אספקת מים; שירותי ביוב, טיפול באשפה ובפסולת ושירותי טיהור</v>
      </c>
      <c r="D91" s="1">
        <v>2733</v>
      </c>
      <c r="E91" s="2">
        <v>12162.72476835682</v>
      </c>
    </row>
    <row r="92" spans="1:5" x14ac:dyDescent="0.2">
      <c r="A92" s="1" t="s">
        <v>45</v>
      </c>
      <c r="B92" s="1" t="s">
        <v>6</v>
      </c>
      <c r="C92" s="1" t="str">
        <f>VLOOKUP(B92,רשויות_ענף_כלכלי__2ספרות_!$J$2:$L$115,3,FALSE)</f>
        <v>בינוי</v>
      </c>
      <c r="D92" s="1">
        <v>63610</v>
      </c>
      <c r="E92" s="2">
        <v>8219.2358950124963</v>
      </c>
    </row>
    <row r="93" spans="1:5" x14ac:dyDescent="0.2">
      <c r="A93" s="1" t="s">
        <v>45</v>
      </c>
      <c r="B93" s="1" t="s">
        <v>7</v>
      </c>
      <c r="C93" s="1" t="str">
        <f>VLOOKUP(B93,רשויות_ענף_כלכלי__2ספרות_!$J$2:$L$115,3,FALSE)</f>
        <v>מסחר סיטוני וקמעוני; תיקון כלי רכב מנועיים ואופנועים</v>
      </c>
      <c r="D93" s="1">
        <v>83485</v>
      </c>
      <c r="E93" s="2">
        <v>7780.7429624662418</v>
      </c>
    </row>
    <row r="94" spans="1:5" x14ac:dyDescent="0.2">
      <c r="A94" s="1" t="s">
        <v>45</v>
      </c>
      <c r="B94" s="1" t="s">
        <v>8</v>
      </c>
      <c r="C94" s="1" t="str">
        <f>VLOOKUP(B94,רשויות_ענף_כלכלי__2ספרות_!$J$2:$L$115,3,FALSE)</f>
        <v>שירותי תחבורה, אחסנה, דואר ובלדרות</v>
      </c>
      <c r="D94" s="1">
        <v>24211</v>
      </c>
      <c r="E94" s="2">
        <v>10637.9088649808</v>
      </c>
    </row>
    <row r="95" spans="1:5" x14ac:dyDescent="0.2">
      <c r="A95" s="1" t="s">
        <v>45</v>
      </c>
      <c r="B95" s="1" t="s">
        <v>9</v>
      </c>
      <c r="C95" s="1" t="str">
        <f>VLOOKUP(B95,רשויות_ענף_כלכלי__2ספרות_!$J$2:$L$115,3,FALSE)</f>
        <v>שירותי אירוח ואוכל</v>
      </c>
      <c r="D95" s="1">
        <v>36526</v>
      </c>
      <c r="E95" s="2">
        <v>5292.8581625719889</v>
      </c>
    </row>
    <row r="96" spans="1:5" x14ac:dyDescent="0.2">
      <c r="A96" s="1" t="s">
        <v>45</v>
      </c>
      <c r="B96" s="1" t="s">
        <v>10</v>
      </c>
      <c r="C96" s="1" t="str">
        <f>VLOOKUP(B96,רשויות_ענף_כלכלי__2ספרות_!$J$2:$L$115,3,FALSE)</f>
        <v>מידע ותקשורת</v>
      </c>
      <c r="D96" s="1">
        <v>12984</v>
      </c>
      <c r="E96" s="2">
        <v>21035.312210438391</v>
      </c>
    </row>
    <row r="97" spans="1:5" x14ac:dyDescent="0.2">
      <c r="A97" s="1" t="s">
        <v>45</v>
      </c>
      <c r="B97" s="1" t="s">
        <v>11</v>
      </c>
      <c r="C97" s="1" t="str">
        <f>VLOOKUP(B97,רשויות_ענף_כלכלי__2ספרות_!$J$2:$L$115,3,FALSE)</f>
        <v>שירותים פיננסיים ושירותי ביטוח</v>
      </c>
      <c r="D97" s="1">
        <v>8285</v>
      </c>
      <c r="E97" s="2">
        <v>14707.372118521154</v>
      </c>
    </row>
    <row r="98" spans="1:5" x14ac:dyDescent="0.2">
      <c r="A98" s="1" t="s">
        <v>45</v>
      </c>
      <c r="B98" s="1" t="s">
        <v>12</v>
      </c>
      <c r="C98" s="1" t="str">
        <f>VLOOKUP(B98,רשויות_ענף_כלכלי__2ספרות_!$J$2:$L$115,3,FALSE)</f>
        <v>פעילויות בנדל"ן</v>
      </c>
      <c r="D98" s="1">
        <v>3153</v>
      </c>
      <c r="E98" s="2">
        <v>9456.4944253142548</v>
      </c>
    </row>
    <row r="99" spans="1:5" x14ac:dyDescent="0.2">
      <c r="A99" s="1" t="s">
        <v>45</v>
      </c>
      <c r="B99" s="1" t="s">
        <v>13</v>
      </c>
      <c r="C99" s="1" t="str">
        <f>VLOOKUP(B99,רשויות_ענף_כלכלי__2ספרות_!$J$2:$L$115,3,FALSE)</f>
        <v>שירותים מקצועיים, מדעיים וטכניים</v>
      </c>
      <c r="D99" s="1">
        <v>30083</v>
      </c>
      <c r="E99" s="2">
        <v>12255.112335383887</v>
      </c>
    </row>
    <row r="100" spans="1:5" x14ac:dyDescent="0.2">
      <c r="A100" s="1" t="s">
        <v>45</v>
      </c>
      <c r="B100" s="1" t="s">
        <v>14</v>
      </c>
      <c r="C100" s="1" t="str">
        <f>VLOOKUP(B100,רשויות_ענף_כלכלי__2ספרות_!$J$2:$L$115,3,FALSE)</f>
        <v>שירותי ניהול ותמיכה</v>
      </c>
      <c r="D100" s="1">
        <v>47736</v>
      </c>
      <c r="E100" s="2">
        <v>5885.5566795004206</v>
      </c>
    </row>
    <row r="101" spans="1:5" x14ac:dyDescent="0.2">
      <c r="A101" s="1" t="s">
        <v>45</v>
      </c>
      <c r="B101" s="1" t="s">
        <v>15</v>
      </c>
      <c r="C101" s="1" t="str">
        <f>VLOOKUP(B101,רשויות_ענף_כלכלי__2ספרות_!$J$2:$L$115,3,FALSE)</f>
        <v>מינהל מקומי, מינהל ציבורי וביטחון; ביטוח לאומי חובה</v>
      </c>
      <c r="D101" s="1">
        <v>44986</v>
      </c>
      <c r="E101" s="2">
        <v>12177.888239944699</v>
      </c>
    </row>
    <row r="102" spans="1:5" x14ac:dyDescent="0.2">
      <c r="A102" s="1" t="s">
        <v>45</v>
      </c>
      <c r="B102" s="1" t="s">
        <v>16</v>
      </c>
      <c r="C102" s="1" t="str">
        <f>VLOOKUP(B102,רשויות_ענף_כלכלי__2ספרות_!$J$2:$L$115,3,FALSE)</f>
        <v>חינוך</v>
      </c>
      <c r="D102" s="1">
        <v>54990</v>
      </c>
      <c r="E102" s="2">
        <v>11295.911590740492</v>
      </c>
    </row>
    <row r="103" spans="1:5" x14ac:dyDescent="0.2">
      <c r="A103" s="1" t="s">
        <v>45</v>
      </c>
      <c r="B103" s="1" t="s">
        <v>17</v>
      </c>
      <c r="C103" s="1" t="str">
        <f>VLOOKUP(B103,רשויות_ענף_כלכלי__2ספרות_!$J$2:$L$115,3,FALSE)</f>
        <v>שירותי בריאות, רווחה וסעד</v>
      </c>
      <c r="D103" s="1">
        <v>73750</v>
      </c>
      <c r="E103" s="2">
        <v>7844.968429049678</v>
      </c>
    </row>
    <row r="104" spans="1:5" x14ac:dyDescent="0.2">
      <c r="A104" s="1" t="s">
        <v>45</v>
      </c>
      <c r="B104" s="1" t="s">
        <v>18</v>
      </c>
      <c r="C104" s="1" t="str">
        <f>VLOOKUP(B104,רשויות_ענף_כלכלי__2ספרות_!$J$2:$L$115,3,FALSE)</f>
        <v>אמנות, בידור ופנאי</v>
      </c>
      <c r="D104" s="1">
        <v>6987</v>
      </c>
      <c r="E104" s="2">
        <v>6303.123791024188</v>
      </c>
    </row>
    <row r="105" spans="1:5" x14ac:dyDescent="0.2">
      <c r="A105" s="1" t="s">
        <v>45</v>
      </c>
      <c r="B105" s="1" t="s">
        <v>19</v>
      </c>
      <c r="C105" s="1" t="str">
        <f>VLOOKUP(B105,רשויות_ענף_כלכלי__2ספרות_!$J$2:$L$115,3,FALSE)</f>
        <v>שירותים אחרים</v>
      </c>
      <c r="D105" s="1">
        <v>15542</v>
      </c>
      <c r="E105" s="2">
        <v>6253.8448729764978</v>
      </c>
    </row>
    <row r="106" spans="1:5" x14ac:dyDescent="0.2">
      <c r="A106" s="1" t="s">
        <v>45</v>
      </c>
      <c r="B106" s="1" t="s">
        <v>41</v>
      </c>
      <c r="C106" s="1" t="str">
        <f>VLOOKUP(B106,רשויות_ענף_כלכלי__2ספרות_!$J$2:$L$115,3,FALSE)</f>
        <v>ארגונים וגופים חוץ-מדינתיים</v>
      </c>
      <c r="D106" s="1">
        <v>52</v>
      </c>
      <c r="E106" s="2">
        <v>15987.164578477083</v>
      </c>
    </row>
    <row r="107" spans="1:5" x14ac:dyDescent="0.2">
      <c r="A107" s="1" t="s">
        <v>46</v>
      </c>
      <c r="B107" s="1" t="s">
        <v>2</v>
      </c>
      <c r="D107" s="1">
        <v>35584</v>
      </c>
      <c r="E107" s="2">
        <v>21664.808542042341</v>
      </c>
    </row>
    <row r="108" spans="1:5" x14ac:dyDescent="0.2">
      <c r="A108" s="1" t="s">
        <v>46</v>
      </c>
      <c r="B108" s="1" t="s">
        <v>3</v>
      </c>
      <c r="C108" s="1" t="str">
        <f>VLOOKUP(B108,רשויות_ענף_כלכלי__2ספרות_!$J$2:$L$115,3,FALSE)</f>
        <v>חקלאות, ייעור ודיג</v>
      </c>
      <c r="D108" s="1">
        <v>8611</v>
      </c>
      <c r="E108" s="2">
        <v>9834.5934329106694</v>
      </c>
    </row>
    <row r="109" spans="1:5" x14ac:dyDescent="0.2">
      <c r="A109" s="1" t="s">
        <v>46</v>
      </c>
      <c r="B109" s="1" t="s">
        <v>24</v>
      </c>
      <c r="C109" s="1" t="str">
        <f>VLOOKUP(B109,רשויות_ענף_כלכלי__2ספרות_!$J$2:$L$115,3,FALSE)</f>
        <v>כרייה וחציבה</v>
      </c>
      <c r="D109" s="1">
        <v>541</v>
      </c>
      <c r="E109" s="2">
        <v>26195.454659414328</v>
      </c>
    </row>
    <row r="110" spans="1:5" x14ac:dyDescent="0.2">
      <c r="A110" s="1" t="s">
        <v>46</v>
      </c>
      <c r="B110" s="1" t="s">
        <v>4</v>
      </c>
      <c r="C110" s="1" t="str">
        <f>VLOOKUP(B110,רשויות_ענף_כלכלי__2ספרות_!$J$2:$L$115,3,FALSE)</f>
        <v>תעשייה</v>
      </c>
      <c r="D110" s="1">
        <v>85331</v>
      </c>
      <c r="E110" s="2">
        <v>20192.49834793415</v>
      </c>
    </row>
    <row r="111" spans="1:5" x14ac:dyDescent="0.2">
      <c r="A111" s="1" t="s">
        <v>46</v>
      </c>
      <c r="B111" s="1" t="s">
        <v>22</v>
      </c>
      <c r="C111" s="1" t="str">
        <f>VLOOKUP(B111,רשויות_ענף_כלכלי__2ספרות_!$J$2:$L$115,3,FALSE)</f>
        <v>אספקת חשמל, גז, קיטור ומיזוג אוויר</v>
      </c>
      <c r="D111" s="1">
        <v>2807</v>
      </c>
      <c r="E111" s="2">
        <v>32673.111847134383</v>
      </c>
    </row>
    <row r="112" spans="1:5" x14ac:dyDescent="0.2">
      <c r="A112" s="1" t="s">
        <v>46</v>
      </c>
      <c r="B112" s="1" t="s">
        <v>5</v>
      </c>
      <c r="C112" s="1" t="str">
        <f>VLOOKUP(B112,רשויות_ענף_כלכלי__2ספרות_!$J$2:$L$115,3,FALSE)</f>
        <v>אספקת מים; שירותי ביוב, טיפול באשפה ובפסולת ושירותי טיהור</v>
      </c>
      <c r="D112" s="1">
        <v>3402</v>
      </c>
      <c r="E112" s="2">
        <v>15244.7464192717</v>
      </c>
    </row>
    <row r="113" spans="1:5" x14ac:dyDescent="0.2">
      <c r="A113" s="1" t="s">
        <v>46</v>
      </c>
      <c r="B113" s="1" t="s">
        <v>6</v>
      </c>
      <c r="C113" s="1" t="str">
        <f>VLOOKUP(B113,רשויות_ענף_כלכלי__2ספרות_!$J$2:$L$115,3,FALSE)</f>
        <v>בינוי</v>
      </c>
      <c r="D113" s="1">
        <v>46724</v>
      </c>
      <c r="E113" s="2">
        <v>14328.221048281899</v>
      </c>
    </row>
    <row r="114" spans="1:5" x14ac:dyDescent="0.2">
      <c r="A114" s="1" t="s">
        <v>46</v>
      </c>
      <c r="B114" s="1" t="s">
        <v>7</v>
      </c>
      <c r="C114" s="1" t="str">
        <f>VLOOKUP(B114,רשויות_ענף_כלכלי__2ספרות_!$J$2:$L$115,3,FALSE)</f>
        <v>מסחר סיטוני וקמעוני; תיקון כלי רכב מנועיים ואופנועים</v>
      </c>
      <c r="D114" s="1">
        <v>174437</v>
      </c>
      <c r="E114" s="2">
        <v>11319.050858406481</v>
      </c>
    </row>
    <row r="115" spans="1:5" x14ac:dyDescent="0.2">
      <c r="A115" s="1" t="s">
        <v>46</v>
      </c>
      <c r="B115" s="1" t="s">
        <v>8</v>
      </c>
      <c r="C115" s="1" t="str">
        <f>VLOOKUP(B115,רשויות_ענף_כלכלי__2ספרות_!$J$2:$L$115,3,FALSE)</f>
        <v>שירותי תחבורה, אחסנה, דואר ובלדרות</v>
      </c>
      <c r="D115" s="1">
        <v>41975</v>
      </c>
      <c r="E115" s="2">
        <v>13756.646507449979</v>
      </c>
    </row>
    <row r="116" spans="1:5" x14ac:dyDescent="0.2">
      <c r="A116" s="1" t="s">
        <v>46</v>
      </c>
      <c r="B116" s="1" t="s">
        <v>9</v>
      </c>
      <c r="C116" s="1" t="str">
        <f>VLOOKUP(B116,רשויות_ענף_כלכלי__2ספרות_!$J$2:$L$115,3,FALSE)</f>
        <v>שירותי אירוח ואוכל</v>
      </c>
      <c r="D116" s="1">
        <v>74696</v>
      </c>
      <c r="E116" s="2">
        <v>4992.4098701353769</v>
      </c>
    </row>
    <row r="117" spans="1:5" x14ac:dyDescent="0.2">
      <c r="A117" s="1" t="s">
        <v>46</v>
      </c>
      <c r="B117" s="1" t="s">
        <v>10</v>
      </c>
      <c r="C117" s="1" t="str">
        <f>VLOOKUP(B117,רשויות_ענף_כלכלי__2ספרות_!$J$2:$L$115,3,FALSE)</f>
        <v>מידע ותקשורת</v>
      </c>
      <c r="D117" s="1">
        <v>90324</v>
      </c>
      <c r="E117" s="2">
        <v>29126.390582014243</v>
      </c>
    </row>
    <row r="118" spans="1:5" x14ac:dyDescent="0.2">
      <c r="A118" s="1" t="s">
        <v>46</v>
      </c>
      <c r="B118" s="1" t="s">
        <v>11</v>
      </c>
      <c r="C118" s="1" t="str">
        <f>VLOOKUP(B118,רשויות_ענף_כלכלי__2ספרות_!$J$2:$L$115,3,FALSE)</f>
        <v>שירותים פיננסיים ושירותי ביטוח</v>
      </c>
      <c r="D118" s="1">
        <v>44948</v>
      </c>
      <c r="E118" s="2">
        <v>22398.884131456281</v>
      </c>
    </row>
    <row r="119" spans="1:5" x14ac:dyDescent="0.2">
      <c r="A119" s="1" t="s">
        <v>46</v>
      </c>
      <c r="B119" s="1" t="s">
        <v>12</v>
      </c>
      <c r="C119" s="1" t="str">
        <f>VLOOKUP(B119,רשויות_ענף_כלכלי__2ספרות_!$J$2:$L$115,3,FALSE)</f>
        <v>פעילויות בנדל"ן</v>
      </c>
      <c r="D119" s="1">
        <v>9854</v>
      </c>
      <c r="E119" s="2">
        <v>15996.55524902031</v>
      </c>
    </row>
    <row r="120" spans="1:5" x14ac:dyDescent="0.2">
      <c r="A120" s="1" t="s">
        <v>46</v>
      </c>
      <c r="B120" s="1" t="s">
        <v>13</v>
      </c>
      <c r="C120" s="1" t="str">
        <f>VLOOKUP(B120,רשויות_ענף_כלכלי__2ספרות_!$J$2:$L$115,3,FALSE)</f>
        <v>שירותים מקצועיים, מדעיים וטכניים</v>
      </c>
      <c r="D120" s="1">
        <v>83243</v>
      </c>
      <c r="E120" s="2">
        <v>18536.830886886637</v>
      </c>
    </row>
    <row r="121" spans="1:5" x14ac:dyDescent="0.2">
      <c r="A121" s="1" t="s">
        <v>46</v>
      </c>
      <c r="B121" s="1" t="s">
        <v>14</v>
      </c>
      <c r="C121" s="1" t="str">
        <f>VLOOKUP(B121,רשויות_ענף_כלכלי__2ספרות_!$J$2:$L$115,3,FALSE)</f>
        <v>שירותי ניהול ותמיכה</v>
      </c>
      <c r="D121" s="1">
        <v>70615</v>
      </c>
      <c r="E121" s="2">
        <v>8216.4373540596844</v>
      </c>
    </row>
    <row r="122" spans="1:5" x14ac:dyDescent="0.2">
      <c r="A122" s="1" t="s">
        <v>46</v>
      </c>
      <c r="B122" s="1" t="s">
        <v>15</v>
      </c>
      <c r="C122" s="1" t="str">
        <f>VLOOKUP(B122,רשויות_ענף_כלכלי__2ספרות_!$J$2:$L$115,3,FALSE)</f>
        <v>מינהל מקומי, מינהל ציבורי וביטחון; ביטוח לאומי חובה</v>
      </c>
      <c r="D122" s="1">
        <v>74813</v>
      </c>
      <c r="E122" s="2">
        <v>12871.757287834231</v>
      </c>
    </row>
    <row r="123" spans="1:5" x14ac:dyDescent="0.2">
      <c r="A123" s="1" t="s">
        <v>46</v>
      </c>
      <c r="B123" s="1" t="s">
        <v>16</v>
      </c>
      <c r="C123" s="1" t="str">
        <f>VLOOKUP(B123,רשויות_ענף_כלכלי__2ספרות_!$J$2:$L$115,3,FALSE)</f>
        <v>חינוך</v>
      </c>
      <c r="D123" s="1">
        <v>92742</v>
      </c>
      <c r="E123" s="2">
        <v>11072.180287357725</v>
      </c>
    </row>
    <row r="124" spans="1:5" x14ac:dyDescent="0.2">
      <c r="A124" s="1" t="s">
        <v>46</v>
      </c>
      <c r="B124" s="1" t="s">
        <v>17</v>
      </c>
      <c r="C124" s="1" t="str">
        <f>VLOOKUP(B124,רשויות_ענף_כלכלי__2ספרות_!$J$2:$L$115,3,FALSE)</f>
        <v>שירותי בריאות, רווחה וסעד</v>
      </c>
      <c r="D124" s="1">
        <v>115588</v>
      </c>
      <c r="E124" s="2">
        <v>9911.6222787436509</v>
      </c>
    </row>
    <row r="125" spans="1:5" x14ac:dyDescent="0.2">
      <c r="A125" s="1" t="s">
        <v>46</v>
      </c>
      <c r="B125" s="1" t="s">
        <v>18</v>
      </c>
      <c r="C125" s="1" t="str">
        <f>VLOOKUP(B125,רשויות_ענף_כלכלי__2ספרות_!$J$2:$L$115,3,FALSE)</f>
        <v>אמנות, בידור ופנאי</v>
      </c>
      <c r="D125" s="1">
        <v>22921</v>
      </c>
      <c r="E125" s="2">
        <v>6581.5360812324398</v>
      </c>
    </row>
    <row r="126" spans="1:5" x14ac:dyDescent="0.2">
      <c r="A126" s="1" t="s">
        <v>46</v>
      </c>
      <c r="B126" s="1" t="s">
        <v>19</v>
      </c>
      <c r="C126" s="1" t="str">
        <f>VLOOKUP(B126,רשויות_ענף_כלכלי__2ספרות_!$J$2:$L$115,3,FALSE)</f>
        <v>שירותים אחרים</v>
      </c>
      <c r="D126" s="1">
        <v>30006</v>
      </c>
      <c r="E126" s="2">
        <v>7400.7289641603229</v>
      </c>
    </row>
    <row r="127" spans="1:5" x14ac:dyDescent="0.2">
      <c r="A127" s="1" t="s">
        <v>46</v>
      </c>
      <c r="B127" s="1" t="s">
        <v>41</v>
      </c>
      <c r="C127" s="1" t="str">
        <f>VLOOKUP(B127,רשויות_ענף_כלכלי__2ספרות_!$J$2:$L$115,3,FALSE)</f>
        <v>ארגונים וגופים חוץ-מדינתיים</v>
      </c>
      <c r="D127" s="1">
        <v>383</v>
      </c>
      <c r="E127" s="2">
        <v>19083.975593212996</v>
      </c>
    </row>
    <row r="128" spans="1:5" x14ac:dyDescent="0.2">
      <c r="A128" s="1" t="s">
        <v>47</v>
      </c>
      <c r="B128" s="1" t="s">
        <v>2</v>
      </c>
      <c r="D128" s="1">
        <v>2899</v>
      </c>
      <c r="E128" s="2">
        <v>19124.368133077031</v>
      </c>
    </row>
    <row r="129" spans="1:5" x14ac:dyDescent="0.2">
      <c r="A129" s="1" t="s">
        <v>47</v>
      </c>
      <c r="B129" s="1" t="s">
        <v>3</v>
      </c>
      <c r="C129" s="1" t="str">
        <f>VLOOKUP(B129,רשויות_ענף_כלכלי__2ספרות_!$J$2:$L$115,3,FALSE)</f>
        <v>חקלאות, ייעור ודיג</v>
      </c>
      <c r="D129" s="1">
        <v>5040</v>
      </c>
      <c r="E129" s="2">
        <v>7939.7040061756807</v>
      </c>
    </row>
    <row r="130" spans="1:5" x14ac:dyDescent="0.2">
      <c r="A130" s="1" t="s">
        <v>47</v>
      </c>
      <c r="B130" s="1" t="s">
        <v>24</v>
      </c>
      <c r="C130" s="1" t="str">
        <f>VLOOKUP(B130,רשויות_ענף_כלכלי__2ספרות_!$J$2:$L$115,3,FALSE)</f>
        <v>כרייה וחציבה</v>
      </c>
      <c r="D130" s="1">
        <v>130</v>
      </c>
      <c r="E130" s="2">
        <v>17832.677319902312</v>
      </c>
    </row>
    <row r="131" spans="1:5" x14ac:dyDescent="0.2">
      <c r="A131" s="1" t="s">
        <v>47</v>
      </c>
      <c r="B131" s="1" t="s">
        <v>4</v>
      </c>
      <c r="C131" s="1" t="str">
        <f>VLOOKUP(B131,רשויות_ענף_כלכלי__2ספרות_!$J$2:$L$115,3,FALSE)</f>
        <v>תעשייה</v>
      </c>
      <c r="D131" s="1">
        <v>9875</v>
      </c>
      <c r="E131" s="2">
        <v>12236.242516189024</v>
      </c>
    </row>
    <row r="132" spans="1:5" x14ac:dyDescent="0.2">
      <c r="A132" s="1" t="s">
        <v>47</v>
      </c>
      <c r="B132" s="1" t="s">
        <v>22</v>
      </c>
      <c r="C132" s="1" t="str">
        <f>VLOOKUP(B132,רשויות_ענף_כלכלי__2ספרות_!$J$2:$L$115,3,FALSE)</f>
        <v>אספקת חשמל, גז, קיטור ומיזוג אוויר</v>
      </c>
      <c r="D132" s="1">
        <v>114</v>
      </c>
      <c r="E132" s="2">
        <v>22344.183437761072</v>
      </c>
    </row>
    <row r="133" spans="1:5" x14ac:dyDescent="0.2">
      <c r="A133" s="1" t="s">
        <v>47</v>
      </c>
      <c r="B133" s="1" t="s">
        <v>5</v>
      </c>
      <c r="C133" s="1" t="str">
        <f>VLOOKUP(B133,רשויות_ענף_כלכלי__2ספרות_!$J$2:$L$115,3,FALSE)</f>
        <v>אספקת מים; שירותי ביוב, טיפול באשפה ובפסולת ושירותי טיהור</v>
      </c>
      <c r="D133" s="1">
        <v>479</v>
      </c>
      <c r="E133" s="2">
        <v>15086.191980270938</v>
      </c>
    </row>
    <row r="134" spans="1:5" x14ac:dyDescent="0.2">
      <c r="A134" s="1" t="s">
        <v>47</v>
      </c>
      <c r="B134" s="1" t="s">
        <v>6</v>
      </c>
      <c r="C134" s="1" t="str">
        <f>VLOOKUP(B134,רשויות_ענף_כלכלי__2ספרות_!$J$2:$L$115,3,FALSE)</f>
        <v>בינוי</v>
      </c>
      <c r="D134" s="1">
        <v>4406</v>
      </c>
      <c r="E134" s="2">
        <v>8594.0468541356695</v>
      </c>
    </row>
    <row r="135" spans="1:5" x14ac:dyDescent="0.2">
      <c r="A135" s="1" t="s">
        <v>47</v>
      </c>
      <c r="B135" s="1" t="s">
        <v>7</v>
      </c>
      <c r="C135" s="1" t="str">
        <f>VLOOKUP(B135,רשויות_ענף_כלכלי__2ספרות_!$J$2:$L$115,3,FALSE)</f>
        <v>מסחר סיטוני וקמעוני; תיקון כלי רכב מנועיים ואופנועים</v>
      </c>
      <c r="D135" s="1">
        <v>8647</v>
      </c>
      <c r="E135" s="2">
        <v>7873.3291539275297</v>
      </c>
    </row>
    <row r="136" spans="1:5" x14ac:dyDescent="0.2">
      <c r="A136" s="1" t="s">
        <v>47</v>
      </c>
      <c r="B136" s="1" t="s">
        <v>8</v>
      </c>
      <c r="C136" s="1" t="str">
        <f>VLOOKUP(B136,רשויות_ענף_כלכלי__2ספרות_!$J$2:$L$115,3,FALSE)</f>
        <v>שירותי תחבורה, אחסנה, דואר ובלדרות</v>
      </c>
      <c r="D136" s="1">
        <v>2385</v>
      </c>
      <c r="E136" s="2">
        <v>10064.828741200567</v>
      </c>
    </row>
    <row r="137" spans="1:5" x14ac:dyDescent="0.2">
      <c r="A137" s="1" t="s">
        <v>47</v>
      </c>
      <c r="B137" s="1" t="s">
        <v>9</v>
      </c>
      <c r="C137" s="1" t="str">
        <f>VLOOKUP(B137,רשויות_ענף_כלכלי__2ספרות_!$J$2:$L$115,3,FALSE)</f>
        <v>שירותי אירוח ואוכל</v>
      </c>
      <c r="D137" s="1">
        <v>7810</v>
      </c>
      <c r="E137" s="2">
        <v>5638.7304681440437</v>
      </c>
    </row>
    <row r="138" spans="1:5" x14ac:dyDescent="0.2">
      <c r="A138" s="1" t="s">
        <v>47</v>
      </c>
      <c r="B138" s="1" t="s">
        <v>10</v>
      </c>
      <c r="C138" s="1" t="str">
        <f>VLOOKUP(B138,רשויות_ענף_כלכלי__2ספרות_!$J$2:$L$115,3,FALSE)</f>
        <v>מידע ותקשורת</v>
      </c>
      <c r="D138" s="1">
        <v>2071</v>
      </c>
      <c r="E138" s="2">
        <v>18955.910744194385</v>
      </c>
    </row>
    <row r="139" spans="1:5" x14ac:dyDescent="0.2">
      <c r="A139" s="1" t="s">
        <v>47</v>
      </c>
      <c r="B139" s="1" t="s">
        <v>11</v>
      </c>
      <c r="C139" s="1" t="str">
        <f>VLOOKUP(B139,רשויות_ענף_כלכלי__2ספרות_!$J$2:$L$115,3,FALSE)</f>
        <v>שירותים פיננסיים ושירותי ביטוח</v>
      </c>
      <c r="D139" s="1">
        <v>1018</v>
      </c>
      <c r="E139" s="2">
        <v>14380.111017982228</v>
      </c>
    </row>
    <row r="140" spans="1:5" x14ac:dyDescent="0.2">
      <c r="A140" s="1" t="s">
        <v>47</v>
      </c>
      <c r="B140" s="1" t="s">
        <v>12</v>
      </c>
      <c r="C140" s="1" t="str">
        <f>VLOOKUP(B140,רשויות_ענף_כלכלי__2ספרות_!$J$2:$L$115,3,FALSE)</f>
        <v>פעילויות בנדל"ן</v>
      </c>
      <c r="D140" s="1">
        <v>416</v>
      </c>
      <c r="E140" s="2">
        <v>11414.499252657064</v>
      </c>
    </row>
    <row r="141" spans="1:5" x14ac:dyDescent="0.2">
      <c r="A141" s="1" t="s">
        <v>47</v>
      </c>
      <c r="B141" s="1" t="s">
        <v>13</v>
      </c>
      <c r="C141" s="1" t="str">
        <f>VLOOKUP(B141,רשויות_ענף_כלכלי__2ספרות_!$J$2:$L$115,3,FALSE)</f>
        <v>שירותים מקצועיים, מדעיים וטכניים</v>
      </c>
      <c r="D141" s="1">
        <v>4359</v>
      </c>
      <c r="E141" s="2">
        <v>11334.503463426914</v>
      </c>
    </row>
    <row r="142" spans="1:5" x14ac:dyDescent="0.2">
      <c r="A142" s="1" t="s">
        <v>47</v>
      </c>
      <c r="B142" s="1" t="s">
        <v>14</v>
      </c>
      <c r="C142" s="1" t="str">
        <f>VLOOKUP(B142,רשויות_ענף_כלכלי__2ספרות_!$J$2:$L$115,3,FALSE)</f>
        <v>שירותי ניהול ותמיכה</v>
      </c>
      <c r="D142" s="1">
        <v>4973</v>
      </c>
      <c r="E142" s="2">
        <v>6188.4993867388839</v>
      </c>
    </row>
    <row r="143" spans="1:5" x14ac:dyDescent="0.2">
      <c r="A143" s="1" t="s">
        <v>47</v>
      </c>
      <c r="B143" s="1" t="s">
        <v>15</v>
      </c>
      <c r="C143" s="1" t="str">
        <f>VLOOKUP(B143,רשויות_ענף_כלכלי__2ספרות_!$J$2:$L$115,3,FALSE)</f>
        <v>מינהל מקומי, מינהל ציבורי וביטחון; ביטוח לאומי חובה</v>
      </c>
      <c r="D143" s="1">
        <v>6085</v>
      </c>
      <c r="E143" s="2">
        <v>11608.868347650718</v>
      </c>
    </row>
    <row r="144" spans="1:5" x14ac:dyDescent="0.2">
      <c r="A144" s="1" t="s">
        <v>47</v>
      </c>
      <c r="B144" s="1" t="s">
        <v>16</v>
      </c>
      <c r="C144" s="1" t="str">
        <f>VLOOKUP(B144,רשויות_ענף_כלכלי__2ספרות_!$J$2:$L$115,3,FALSE)</f>
        <v>חינוך</v>
      </c>
      <c r="D144" s="1">
        <v>10732</v>
      </c>
      <c r="E144" s="2">
        <v>10469.97869227929</v>
      </c>
    </row>
    <row r="145" spans="1:5" x14ac:dyDescent="0.2">
      <c r="A145" s="1" t="s">
        <v>47</v>
      </c>
      <c r="B145" s="1" t="s">
        <v>17</v>
      </c>
      <c r="C145" s="1" t="str">
        <f>VLOOKUP(B145,רשויות_ענף_כלכלי__2ספרות_!$J$2:$L$115,3,FALSE)</f>
        <v>שירותי בריאות, רווחה וסעד</v>
      </c>
      <c r="D145" s="1">
        <v>7375</v>
      </c>
      <c r="E145" s="2">
        <v>7022.5052718076649</v>
      </c>
    </row>
    <row r="146" spans="1:5" x14ac:dyDescent="0.2">
      <c r="A146" s="1" t="s">
        <v>47</v>
      </c>
      <c r="B146" s="1" t="s">
        <v>18</v>
      </c>
      <c r="C146" s="1" t="str">
        <f>VLOOKUP(B146,רשויות_ענף_כלכלי__2ספרות_!$J$2:$L$115,3,FALSE)</f>
        <v>אמנות, בידור ופנאי</v>
      </c>
      <c r="D146" s="1">
        <v>2169</v>
      </c>
      <c r="E146" s="2">
        <v>6768.9292936943675</v>
      </c>
    </row>
    <row r="147" spans="1:5" x14ac:dyDescent="0.2">
      <c r="A147" s="1" t="s">
        <v>47</v>
      </c>
      <c r="B147" s="1" t="s">
        <v>19</v>
      </c>
      <c r="C147" s="1" t="str">
        <f>VLOOKUP(B147,רשויות_ענף_כלכלי__2ספרות_!$J$2:$L$115,3,FALSE)</f>
        <v>שירותים אחרים</v>
      </c>
      <c r="D147" s="1">
        <v>2820</v>
      </c>
      <c r="E147" s="2">
        <v>6201.0555660582631</v>
      </c>
    </row>
    <row r="148" spans="1:5" x14ac:dyDescent="0.2">
      <c r="A148" s="1" t="s">
        <v>47</v>
      </c>
      <c r="B148" s="1" t="s">
        <v>41</v>
      </c>
      <c r="C148" s="1" t="str">
        <f>VLOOKUP(B148,רשויות_ענף_כלכלי__2ספרות_!$J$2:$L$115,3,FALSE)</f>
        <v>ארגונים וגופים חוץ-מדינתיים</v>
      </c>
      <c r="D148" s="1">
        <v>13</v>
      </c>
      <c r="E148" s="2">
        <v>13491.191086691086</v>
      </c>
    </row>
    <row r="149" spans="1:5" x14ac:dyDescent="0.2">
      <c r="A149" s="1" t="s">
        <v>48</v>
      </c>
      <c r="B149" s="1" t="s">
        <v>2</v>
      </c>
      <c r="D149" s="1">
        <v>20646</v>
      </c>
      <c r="E149" s="2">
        <v>20318.705126552715</v>
      </c>
    </row>
    <row r="150" spans="1:5" x14ac:dyDescent="0.2">
      <c r="A150" s="1" t="s">
        <v>48</v>
      </c>
      <c r="B150" s="1" t="s">
        <v>3</v>
      </c>
      <c r="C150" s="1" t="str">
        <f>VLOOKUP(B150,רשויות_ענף_כלכלי__2ספרות_!$J$2:$L$115,3,FALSE)</f>
        <v>חקלאות, ייעור ודיג</v>
      </c>
      <c r="D150" s="1">
        <v>1374</v>
      </c>
      <c r="E150" s="2">
        <v>10053.42974974848</v>
      </c>
    </row>
    <row r="151" spans="1:5" x14ac:dyDescent="0.2">
      <c r="A151" s="1" t="s">
        <v>48</v>
      </c>
      <c r="B151" s="1" t="s">
        <v>24</v>
      </c>
      <c r="C151" s="1" t="str">
        <f>VLOOKUP(B151,רשויות_ענף_כלכלי__2ספרות_!$J$2:$L$115,3,FALSE)</f>
        <v>כרייה וחציבה</v>
      </c>
      <c r="D151" s="1">
        <v>222</v>
      </c>
      <c r="E151" s="2">
        <v>36565.012180362181</v>
      </c>
    </row>
    <row r="152" spans="1:5" x14ac:dyDescent="0.2">
      <c r="A152" s="1" t="s">
        <v>48</v>
      </c>
      <c r="B152" s="1" t="s">
        <v>4</v>
      </c>
      <c r="C152" s="1" t="str">
        <f>VLOOKUP(B152,רשויות_ענף_כלכלי__2ספרות_!$J$2:$L$115,3,FALSE)</f>
        <v>תעשייה</v>
      </c>
      <c r="D152" s="1">
        <v>36855</v>
      </c>
      <c r="E152" s="2">
        <v>19887.931745701873</v>
      </c>
    </row>
    <row r="153" spans="1:5" x14ac:dyDescent="0.2">
      <c r="A153" s="1" t="s">
        <v>48</v>
      </c>
      <c r="B153" s="1" t="s">
        <v>22</v>
      </c>
      <c r="C153" s="1" t="str">
        <f>VLOOKUP(B153,רשויות_ענף_כלכלי__2ספרות_!$J$2:$L$115,3,FALSE)</f>
        <v>אספקת חשמל, גז, קיטור ומיזוג אוויר</v>
      </c>
      <c r="D153" s="1">
        <v>1456</v>
      </c>
      <c r="E153" s="2">
        <v>30032.855091758403</v>
      </c>
    </row>
    <row r="154" spans="1:5" x14ac:dyDescent="0.2">
      <c r="A154" s="1" t="s">
        <v>48</v>
      </c>
      <c r="B154" s="1" t="s">
        <v>5</v>
      </c>
      <c r="C154" s="1" t="str">
        <f>VLOOKUP(B154,רשויות_ענף_כלכלי__2ספרות_!$J$2:$L$115,3,FALSE)</f>
        <v>אספקת מים; שירותי ביוב, טיפול באשפה ובפסולת ושירותי טיהור</v>
      </c>
      <c r="D154" s="1">
        <v>1297</v>
      </c>
      <c r="E154" s="2">
        <v>15550.525522490023</v>
      </c>
    </row>
    <row r="155" spans="1:5" x14ac:dyDescent="0.2">
      <c r="A155" s="1" t="s">
        <v>48</v>
      </c>
      <c r="B155" s="1" t="s">
        <v>6</v>
      </c>
      <c r="C155" s="1" t="str">
        <f>VLOOKUP(B155,רשויות_ענף_כלכלי__2ספרות_!$J$2:$L$115,3,FALSE)</f>
        <v>בינוי</v>
      </c>
      <c r="D155" s="1">
        <v>20777</v>
      </c>
      <c r="E155" s="2">
        <v>15388.597601896463</v>
      </c>
    </row>
    <row r="156" spans="1:5" x14ac:dyDescent="0.2">
      <c r="A156" s="1" t="s">
        <v>48</v>
      </c>
      <c r="B156" s="1" t="s">
        <v>7</v>
      </c>
      <c r="C156" s="1" t="str">
        <f>VLOOKUP(B156,רשויות_ענף_כלכלי__2ספרות_!$J$2:$L$115,3,FALSE)</f>
        <v>מסחר סיטוני וקמעוני; תיקון כלי רכב מנועיים ואופנועים</v>
      </c>
      <c r="D156" s="1">
        <v>91943</v>
      </c>
      <c r="E156" s="2">
        <v>11905.126720181717</v>
      </c>
    </row>
    <row r="157" spans="1:5" x14ac:dyDescent="0.2">
      <c r="A157" s="1" t="s">
        <v>48</v>
      </c>
      <c r="B157" s="1" t="s">
        <v>8</v>
      </c>
      <c r="C157" s="1" t="str">
        <f>VLOOKUP(B157,רשויות_ענף_כלכלי__2ספרות_!$J$2:$L$115,3,FALSE)</f>
        <v>שירותי תחבורה, אחסנה, דואר ובלדרות</v>
      </c>
      <c r="D157" s="1">
        <v>17336</v>
      </c>
      <c r="E157" s="2">
        <v>13884.747231182664</v>
      </c>
    </row>
    <row r="158" spans="1:5" x14ac:dyDescent="0.2">
      <c r="A158" s="1" t="s">
        <v>48</v>
      </c>
      <c r="B158" s="1" t="s">
        <v>9</v>
      </c>
      <c r="C158" s="1" t="str">
        <f>VLOOKUP(B158,רשויות_ענף_כלכלי__2ספרות_!$J$2:$L$115,3,FALSE)</f>
        <v>שירותי אירוח ואוכל</v>
      </c>
      <c r="D158" s="1">
        <v>51445</v>
      </c>
      <c r="E158" s="2">
        <v>6330.1337223624241</v>
      </c>
    </row>
    <row r="159" spans="1:5" x14ac:dyDescent="0.2">
      <c r="A159" s="1" t="s">
        <v>48</v>
      </c>
      <c r="B159" s="1" t="s">
        <v>10</v>
      </c>
      <c r="C159" s="1" t="str">
        <f>VLOOKUP(B159,רשויות_ענף_כלכלי__2ספרות_!$J$2:$L$115,3,FALSE)</f>
        <v>מידע ותקשורת</v>
      </c>
      <c r="D159" s="1">
        <v>88316</v>
      </c>
      <c r="E159" s="2">
        <v>30425.284072976014</v>
      </c>
    </row>
    <row r="160" spans="1:5" x14ac:dyDescent="0.2">
      <c r="A160" s="1" t="s">
        <v>48</v>
      </c>
      <c r="B160" s="1" t="s">
        <v>11</v>
      </c>
      <c r="C160" s="1" t="str">
        <f>VLOOKUP(B160,רשויות_ענף_כלכלי__2ספרות_!$J$2:$L$115,3,FALSE)</f>
        <v>שירותים פיננסיים ושירותי ביטוח</v>
      </c>
      <c r="D160" s="1">
        <v>33796</v>
      </c>
      <c r="E160" s="2">
        <v>24120.993754856849</v>
      </c>
    </row>
    <row r="161" spans="1:5" x14ac:dyDescent="0.2">
      <c r="A161" s="1" t="s">
        <v>48</v>
      </c>
      <c r="B161" s="1" t="s">
        <v>12</v>
      </c>
      <c r="C161" s="1" t="str">
        <f>VLOOKUP(B161,רשויות_ענף_כלכלי__2ספרות_!$J$2:$L$115,3,FALSE)</f>
        <v>פעילויות בנדל"ן</v>
      </c>
      <c r="D161" s="1">
        <v>8990</v>
      </c>
      <c r="E161" s="2">
        <v>17234.842315258884</v>
      </c>
    </row>
    <row r="162" spans="1:5" x14ac:dyDescent="0.2">
      <c r="A162" s="1" t="s">
        <v>48</v>
      </c>
      <c r="B162" s="1" t="s">
        <v>13</v>
      </c>
      <c r="C162" s="1" t="str">
        <f>VLOOKUP(B162,רשויות_ענף_כלכלי__2ספרות_!$J$2:$L$115,3,FALSE)</f>
        <v>שירותים מקצועיים, מדעיים וטכניים</v>
      </c>
      <c r="D162" s="1">
        <v>69592</v>
      </c>
      <c r="E162" s="2">
        <v>18890.173182323513</v>
      </c>
    </row>
    <row r="163" spans="1:5" x14ac:dyDescent="0.2">
      <c r="A163" s="1" t="s">
        <v>48</v>
      </c>
      <c r="B163" s="1" t="s">
        <v>14</v>
      </c>
      <c r="C163" s="1" t="str">
        <f>VLOOKUP(B163,רשויות_ענף_כלכלי__2ספרות_!$J$2:$L$115,3,FALSE)</f>
        <v>שירותי ניהול ותמיכה</v>
      </c>
      <c r="D163" s="1">
        <v>40992</v>
      </c>
      <c r="E163" s="2">
        <v>8878.0606264821818</v>
      </c>
    </row>
    <row r="164" spans="1:5" x14ac:dyDescent="0.2">
      <c r="A164" s="1" t="s">
        <v>48</v>
      </c>
      <c r="B164" s="1" t="s">
        <v>15</v>
      </c>
      <c r="C164" s="1" t="str">
        <f>VLOOKUP(B164,רשויות_ענף_כלכלי__2ספרות_!$J$2:$L$115,3,FALSE)</f>
        <v>מינהל מקומי, מינהל ציבורי וביטחון; ביטוח לאומי חובה</v>
      </c>
      <c r="D164" s="1">
        <v>40080</v>
      </c>
      <c r="E164" s="2">
        <v>13873.637294063614</v>
      </c>
    </row>
    <row r="165" spans="1:5" x14ac:dyDescent="0.2">
      <c r="A165" s="1" t="s">
        <v>48</v>
      </c>
      <c r="B165" s="1" t="s">
        <v>16</v>
      </c>
      <c r="C165" s="1" t="str">
        <f>VLOOKUP(B165,רשויות_ענף_כלכלי__2ספרות_!$J$2:$L$115,3,FALSE)</f>
        <v>חינוך</v>
      </c>
      <c r="D165" s="1">
        <v>61381</v>
      </c>
      <c r="E165" s="2">
        <v>9646.8530112627468</v>
      </c>
    </row>
    <row r="166" spans="1:5" x14ac:dyDescent="0.2">
      <c r="A166" s="1" t="s">
        <v>48</v>
      </c>
      <c r="B166" s="1" t="s">
        <v>17</v>
      </c>
      <c r="C166" s="1" t="str">
        <f>VLOOKUP(B166,רשויות_ענף_כלכלי__2ספרות_!$J$2:$L$115,3,FALSE)</f>
        <v>שירותי בריאות, רווחה וסעד</v>
      </c>
      <c r="D166" s="1">
        <v>72488</v>
      </c>
      <c r="E166" s="2">
        <v>9090.3376795520926</v>
      </c>
    </row>
    <row r="167" spans="1:5" x14ac:dyDescent="0.2">
      <c r="A167" s="1" t="s">
        <v>48</v>
      </c>
      <c r="B167" s="1" t="s">
        <v>18</v>
      </c>
      <c r="C167" s="1" t="str">
        <f>VLOOKUP(B167,רשויות_ענף_כלכלי__2ספרות_!$J$2:$L$115,3,FALSE)</f>
        <v>אמנות, בידור ופנאי</v>
      </c>
      <c r="D167" s="1">
        <v>15159</v>
      </c>
      <c r="E167" s="2">
        <v>8300.5438920506349</v>
      </c>
    </row>
    <row r="168" spans="1:5" x14ac:dyDescent="0.2">
      <c r="A168" s="1" t="s">
        <v>48</v>
      </c>
      <c r="B168" s="1" t="s">
        <v>19</v>
      </c>
      <c r="C168" s="1" t="str">
        <f>VLOOKUP(B168,רשויות_ענף_כלכלי__2ספרות_!$J$2:$L$115,3,FALSE)</f>
        <v>שירותים אחרים</v>
      </c>
      <c r="D168" s="1">
        <v>20041</v>
      </c>
      <c r="E168" s="2">
        <v>8138.4629984919611</v>
      </c>
    </row>
    <row r="169" spans="1:5" x14ac:dyDescent="0.2">
      <c r="A169" s="1" t="s">
        <v>48</v>
      </c>
      <c r="B169" s="1" t="s">
        <v>41</v>
      </c>
      <c r="C169" s="1" t="str">
        <f>VLOOKUP(B169,רשויות_ענף_כלכלי__2ספרות_!$J$2:$L$115,3,FALSE)</f>
        <v>ארגונים וגופים חוץ-מדינתיים</v>
      </c>
      <c r="D169" s="1">
        <v>594</v>
      </c>
      <c r="E169" s="2">
        <v>18552.256258775848</v>
      </c>
    </row>
  </sheetData>
  <autoFilter ref="A1:E169" xr:uid="{00000000-0001-0000-0500-000000000000}"/>
  <pageMargins left="0.75" right="0.75" top="1" bottom="1" header="0.5" footer="0.5"/>
  <headerFooter alignWithMargins="0"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מידע נילווה</vt:lpstr>
      <vt:lpstr>רשויות_ענף_כלכלי__3ספרות_</vt:lpstr>
      <vt:lpstr>רשויות_ענף_כלכלי__2ספרות_</vt:lpstr>
      <vt:lpstr>פיבוט</vt:lpstr>
      <vt:lpstr>רשויות_ענף_כלכלי__סדר_</vt:lpstr>
      <vt:lpstr>מחוז_ענף_כלכלי_3_ספרות</vt:lpstr>
      <vt:lpstr>מחוז_ענף_כלכלי_2_ספרות</vt:lpstr>
      <vt:lpstr>מחוז_ענף_כלכלי__סדר</vt:lpstr>
      <vt:lpstr>מחוז_ענף_כלכלי__סדר</vt:lpstr>
      <vt:lpstr>מחוז_ענף_כלכלי_2_ספרות</vt:lpstr>
      <vt:lpstr>מחוז_ענף_כלכלי_3_ספרות</vt:lpstr>
      <vt:lpstr>רשויות_ענף_כלכלי__2ספרות_</vt:lpstr>
      <vt:lpstr>רשויות_ענף_כלכלי__3ספרות_</vt:lpstr>
      <vt:lpstr>רשויות_ענף_כלכלי__סדר_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בנימין דרובוט</cp:lastModifiedBy>
  <dcterms:created xsi:type="dcterms:W3CDTF">2024-06-30T12:50:35Z</dcterms:created>
  <dcterms:modified xsi:type="dcterms:W3CDTF">2026-07-26T10:13:10Z</dcterms:modified>
</cp:coreProperties>
</file>