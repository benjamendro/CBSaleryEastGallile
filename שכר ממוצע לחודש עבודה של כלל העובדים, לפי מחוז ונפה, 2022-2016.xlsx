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97252\Desktop\Benny\WORK\מרכז ידע\02-מסדי נתונים\05-שכר ותעסוקה\"/>
    </mc:Choice>
  </mc:AlternateContent>
  <xr:revisionPtr revIDLastSave="0" documentId="13_ncr:1_{6BD5C35C-6E7B-4532-B57A-95107B8B9FC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8" sheetId="1" r:id="rId1"/>
    <sheet name="מחוזות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J17" i="2"/>
  <c r="K17" i="2"/>
  <c r="L17" i="2"/>
  <c r="M17" i="2"/>
  <c r="N17" i="2"/>
  <c r="O17" i="2"/>
  <c r="H17" i="2"/>
  <c r="C17" i="2"/>
  <c r="D17" i="2"/>
  <c r="E17" i="2"/>
  <c r="F17" i="2"/>
  <c r="G17" i="2"/>
  <c r="B17" i="2"/>
</calcChain>
</file>

<file path=xl/sharedStrings.xml><?xml version="1.0" encoding="utf-8"?>
<sst xmlns="http://schemas.openxmlformats.org/spreadsheetml/2006/main" count="49" uniqueCount="28">
  <si>
    <t>לוח 8: שכר ממוצע לחודש עבודה של כלל העובדים, לפי מחוז ונפה, 2022-2016</t>
  </si>
  <si>
    <t>מחוז ונפה</t>
  </si>
  <si>
    <t>מספר כלל העובדים</t>
  </si>
  <si>
    <t>השכר הממוצע (₪) לחודש עבודה</t>
  </si>
  <si>
    <t>סה"כ- נפה ומחוז</t>
  </si>
  <si>
    <t>ירושלים</t>
  </si>
  <si>
    <t>סה"כ</t>
  </si>
  <si>
    <t>הצפון</t>
  </si>
  <si>
    <t>צפת</t>
  </si>
  <si>
    <t>כנרת</t>
  </si>
  <si>
    <t>יזרעאל</t>
  </si>
  <si>
    <t>עכו</t>
  </si>
  <si>
    <t>גולן</t>
  </si>
  <si>
    <t>חיפה</t>
  </si>
  <si>
    <t>חדרה</t>
  </si>
  <si>
    <t>המרכז</t>
  </si>
  <si>
    <t>השרון</t>
  </si>
  <si>
    <t>פתח תקווה</t>
  </si>
  <si>
    <t>רמלה</t>
  </si>
  <si>
    <t>רחובות</t>
  </si>
  <si>
    <t>תל-אביב</t>
  </si>
  <si>
    <t>הדרום</t>
  </si>
  <si>
    <t>אשקלון</t>
  </si>
  <si>
    <t>באר שבע</t>
  </si>
  <si>
    <t>יהודה ושומרון</t>
  </si>
  <si>
    <t>גליל מזרחי</t>
  </si>
  <si>
    <t>צפון ללא גליל מזרחי</t>
  </si>
  <si>
    <t>יחס מהממוצע הארצי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</si>
</sst>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9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 wrapText="1"/>
    </xf>
    <xf numFmtId="3" fontId="4" fillId="0" borderId="0" xfId="0" applyNumberFormat="1" applyFont="1" applyAlignment="1">
      <alignment horizontal="left" vertical="center" wrapText="1" readingOrder="1"/>
    </xf>
    <xf numFmtId="0" fontId="2" fillId="0" borderId="0" xfId="0" applyFont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 wrapText="1"/>
    </xf>
    <xf numFmtId="3" fontId="4" fillId="0" borderId="9" xfId="0" applyNumberFormat="1" applyFont="1" applyBorder="1" applyAlignment="1">
      <alignment horizontal="left" vertical="center" wrapText="1" readingOrder="1"/>
    </xf>
    <xf numFmtId="0" fontId="2" fillId="0" borderId="0" xfId="0" applyFont="1" applyAlignment="1">
      <alignment vertical="center" wrapText="1"/>
    </xf>
    <xf numFmtId="4" fontId="4" fillId="0" borderId="0" xfId="0" applyNumberFormat="1" applyFont="1" applyAlignment="1">
      <alignment horizontal="left" vertical="center" wrapText="1" readingOrder="1"/>
    </xf>
    <xf numFmtId="0" fontId="2" fillId="0" borderId="0" xfId="0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שכר ממוצע לחודש עבודה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מחוזות!$A$6</c:f>
              <c:strCache>
                <c:ptCount val="1"/>
                <c:pt idx="0">
                  <c:v>ירושלים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מחוזות!$I$4:$O$4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מחוזות!$I$6:$O$6</c:f>
              <c:numCache>
                <c:formatCode>#,##0</c:formatCode>
                <c:ptCount val="7"/>
                <c:pt idx="0">
                  <c:v>9671</c:v>
                </c:pt>
                <c:pt idx="1">
                  <c:v>9840</c:v>
                </c:pt>
                <c:pt idx="2">
                  <c:v>10025</c:v>
                </c:pt>
                <c:pt idx="3">
                  <c:v>10373</c:v>
                </c:pt>
                <c:pt idx="4">
                  <c:v>10610</c:v>
                </c:pt>
                <c:pt idx="5">
                  <c:v>10824</c:v>
                </c:pt>
                <c:pt idx="6">
                  <c:v>11021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A6-432C-A857-14AE8C383F2B}"/>
            </c:ext>
          </c:extLst>
        </c:ser>
        <c:ser>
          <c:idx val="1"/>
          <c:order val="1"/>
          <c:tx>
            <c:strRef>
              <c:f>מחוזות!$A$7</c:f>
              <c:strCache>
                <c:ptCount val="1"/>
                <c:pt idx="0">
                  <c:v>צפון ללא גליל מזרחי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מחוזות!$I$4:$O$4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מחוזות!$I$7:$O$7</c:f>
              <c:numCache>
                <c:formatCode>#,##0</c:formatCode>
                <c:ptCount val="7"/>
                <c:pt idx="0">
                  <c:v>9281</c:v>
                </c:pt>
                <c:pt idx="1">
                  <c:v>9496.3333333333339</c:v>
                </c:pt>
                <c:pt idx="2">
                  <c:v>9763.6666666666661</c:v>
                </c:pt>
                <c:pt idx="3">
                  <c:v>10089</c:v>
                </c:pt>
                <c:pt idx="4">
                  <c:v>10421.666666666666</c:v>
                </c:pt>
                <c:pt idx="5">
                  <c:v>10712.333333333334</c:v>
                </c:pt>
                <c:pt idx="6">
                  <c:v>10878.333333333334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A6-432C-A857-14AE8C383F2B}"/>
            </c:ext>
          </c:extLst>
        </c:ser>
        <c:ser>
          <c:idx val="2"/>
          <c:order val="2"/>
          <c:tx>
            <c:strRef>
              <c:f>מחוזות!$A$8</c:f>
              <c:strCache>
                <c:ptCount val="1"/>
                <c:pt idx="0">
                  <c:v>גליל מזרחי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cat>
            <c:numRef>
              <c:f>מחוזות!$I$4:$O$4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מחוזות!$I$8:$O$8</c:f>
              <c:numCache>
                <c:formatCode>#,##0</c:formatCode>
                <c:ptCount val="7"/>
                <c:pt idx="0">
                  <c:v>8788</c:v>
                </c:pt>
                <c:pt idx="1">
                  <c:v>9046</c:v>
                </c:pt>
                <c:pt idx="2">
                  <c:v>9306.5</c:v>
                </c:pt>
                <c:pt idx="3">
                  <c:v>9640.5</c:v>
                </c:pt>
                <c:pt idx="4">
                  <c:v>9947.5</c:v>
                </c:pt>
                <c:pt idx="5">
                  <c:v>10306</c:v>
                </c:pt>
                <c:pt idx="6">
                  <c:v>10460.5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A6-432C-A857-14AE8C383F2B}"/>
            </c:ext>
          </c:extLst>
        </c:ser>
        <c:ser>
          <c:idx val="3"/>
          <c:order val="3"/>
          <c:tx>
            <c:strRef>
              <c:f>מחוזות!$A$9</c:f>
              <c:strCache>
                <c:ptCount val="1"/>
                <c:pt idx="0">
                  <c:v>חיפה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מחוזות!$I$4:$O$4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מחוזות!$I$9:$O$9</c:f>
              <c:numCache>
                <c:formatCode>#,##0</c:formatCode>
                <c:ptCount val="7"/>
                <c:pt idx="0">
                  <c:v>10952</c:v>
                </c:pt>
                <c:pt idx="1">
                  <c:v>11162</c:v>
                </c:pt>
                <c:pt idx="2">
                  <c:v>11467</c:v>
                </c:pt>
                <c:pt idx="3">
                  <c:v>11864</c:v>
                </c:pt>
                <c:pt idx="4">
                  <c:v>12246</c:v>
                </c:pt>
                <c:pt idx="5">
                  <c:v>12626</c:v>
                </c:pt>
                <c:pt idx="6">
                  <c:v>12973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A6-432C-A857-14AE8C383F2B}"/>
            </c:ext>
          </c:extLst>
        </c:ser>
        <c:ser>
          <c:idx val="4"/>
          <c:order val="4"/>
          <c:tx>
            <c:strRef>
              <c:f>מחוזות!$A$10</c:f>
              <c:strCache>
                <c:ptCount val="1"/>
                <c:pt idx="0">
                  <c:v>המרכז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מחוזות!$I$4:$O$4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מחוזות!$I$10:$O$10</c:f>
              <c:numCache>
                <c:formatCode>#,##0</c:formatCode>
                <c:ptCount val="7"/>
                <c:pt idx="0">
                  <c:v>12495</c:v>
                </c:pt>
                <c:pt idx="1">
                  <c:v>12780</c:v>
                </c:pt>
                <c:pt idx="2">
                  <c:v>13135</c:v>
                </c:pt>
                <c:pt idx="3">
                  <c:v>13577</c:v>
                </c:pt>
                <c:pt idx="4">
                  <c:v>14102</c:v>
                </c:pt>
                <c:pt idx="5">
                  <c:v>14678</c:v>
                </c:pt>
                <c:pt idx="6">
                  <c:v>15281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A6-432C-A857-14AE8C383F2B}"/>
            </c:ext>
          </c:extLst>
        </c:ser>
        <c:ser>
          <c:idx val="5"/>
          <c:order val="5"/>
          <c:tx>
            <c:strRef>
              <c:f>מחוזות!$A$11</c:f>
              <c:strCache>
                <c:ptCount val="1"/>
                <c:pt idx="0">
                  <c:v>תל-אביב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מחוזות!$I$4:$O$4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מחוזות!$I$11:$O$11</c:f>
              <c:numCache>
                <c:formatCode>#,##0</c:formatCode>
                <c:ptCount val="7"/>
                <c:pt idx="0">
                  <c:v>12676</c:v>
                </c:pt>
                <c:pt idx="1">
                  <c:v>12989</c:v>
                </c:pt>
                <c:pt idx="2">
                  <c:v>13588</c:v>
                </c:pt>
                <c:pt idx="3">
                  <c:v>13988</c:v>
                </c:pt>
                <c:pt idx="4">
                  <c:v>14642</c:v>
                </c:pt>
                <c:pt idx="5">
                  <c:v>15489</c:v>
                </c:pt>
                <c:pt idx="6">
                  <c:v>16263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A6-432C-A857-14AE8C383F2B}"/>
            </c:ext>
          </c:extLst>
        </c:ser>
        <c:ser>
          <c:idx val="6"/>
          <c:order val="6"/>
          <c:tx>
            <c:strRef>
              <c:f>מחוזות!$A$12</c:f>
              <c:strCache>
                <c:ptCount val="1"/>
                <c:pt idx="0">
                  <c:v>הדרום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מחוזות!$I$4:$O$4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מחוזות!$I$12:$O$12</c:f>
              <c:numCache>
                <c:formatCode>#,##0</c:formatCode>
                <c:ptCount val="7"/>
                <c:pt idx="0">
                  <c:v>9920</c:v>
                </c:pt>
                <c:pt idx="1">
                  <c:v>10191</c:v>
                </c:pt>
                <c:pt idx="2">
                  <c:v>10497</c:v>
                </c:pt>
                <c:pt idx="3">
                  <c:v>10854</c:v>
                </c:pt>
                <c:pt idx="4">
                  <c:v>11248</c:v>
                </c:pt>
                <c:pt idx="5">
                  <c:v>11534</c:v>
                </c:pt>
                <c:pt idx="6">
                  <c:v>11822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A6-432C-A857-14AE8C383F2B}"/>
            </c:ext>
          </c:extLst>
        </c:ser>
        <c:ser>
          <c:idx val="7"/>
          <c:order val="7"/>
          <c:tx>
            <c:v>ממוצע ארצי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מחוזות!$I$14:$O$14</c:f>
              <c:numCache>
                <c:formatCode>#,##0</c:formatCode>
                <c:ptCount val="7"/>
                <c:pt idx="0">
                  <c:v>11117</c:v>
                </c:pt>
                <c:pt idx="1">
                  <c:v>11358</c:v>
                </c:pt>
                <c:pt idx="2">
                  <c:v>11699</c:v>
                </c:pt>
                <c:pt idx="3">
                  <c:v>12074</c:v>
                </c:pt>
                <c:pt idx="4">
                  <c:v>12515</c:v>
                </c:pt>
                <c:pt idx="5">
                  <c:v>12978</c:v>
                </c:pt>
                <c:pt idx="6">
                  <c:v>13396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C-4638-915D-D344D42CC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902032"/>
        <c:axId val="1001884272"/>
      </c:lineChart>
      <c:catAx>
        <c:axId val="100190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001884272"/>
        <c:crosses val="autoZero"/>
        <c:auto val="1"/>
        <c:lblAlgn val="ctr"/>
        <c:lblOffset val="100"/>
        <c:noMultiLvlLbl val="0"/>
      </c:catAx>
      <c:valAx>
        <c:axId val="100188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00190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122465</xdr:colOff>
      <xdr:row>24</xdr:row>
      <xdr:rowOff>148316</xdr:rowOff>
    </xdr:from>
    <xdr:to>
      <xdr:col>22</xdr:col>
      <xdr:colOff>127228</xdr:colOff>
      <xdr:row>50</xdr:row>
      <xdr:rowOff>40819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CDFF96-29FB-ECDA-903D-5D5654B4F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P69"/>
  <sheetViews>
    <sheetView rightToLeft="1" zoomScaleNormal="100" workbookViewId="0">
      <pane ySplit="4" topLeftCell="A5" activePane="bottomLeft" state="frozen"/>
      <selection pane="bottomLeft" activeCell="J5" sqref="J5:P5"/>
    </sheetView>
  </sheetViews>
  <sheetFormatPr defaultRowHeight="14.25" x14ac:dyDescent="0.2"/>
  <cols>
    <col min="1" max="3" width="9" customWidth="1"/>
    <col min="4" max="5" width="9.625" bestFit="1" customWidth="1"/>
  </cols>
  <sheetData>
    <row r="1" spans="1:16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25" customHeight="1" x14ac:dyDescent="0.2">
      <c r="A3" s="13" t="s">
        <v>1</v>
      </c>
      <c r="B3" s="14"/>
      <c r="C3" s="17" t="s">
        <v>2</v>
      </c>
      <c r="D3" s="18"/>
      <c r="E3" s="18"/>
      <c r="F3" s="18"/>
      <c r="G3" s="18"/>
      <c r="H3" s="18"/>
      <c r="I3" s="19"/>
      <c r="J3" s="17" t="s">
        <v>3</v>
      </c>
      <c r="K3" s="18"/>
      <c r="L3" s="18"/>
      <c r="M3" s="18"/>
      <c r="N3" s="18"/>
      <c r="O3" s="18"/>
      <c r="P3" s="19"/>
    </row>
    <row r="4" spans="1:16" x14ac:dyDescent="0.2">
      <c r="A4" s="15"/>
      <c r="B4" s="16"/>
      <c r="C4" s="2">
        <v>2016</v>
      </c>
      <c r="D4" s="2">
        <v>2017</v>
      </c>
      <c r="E4" s="2">
        <v>2018</v>
      </c>
      <c r="F4" s="2">
        <v>2019</v>
      </c>
      <c r="G4" s="2">
        <v>2020</v>
      </c>
      <c r="H4" s="2">
        <v>2021</v>
      </c>
      <c r="I4" s="2">
        <v>2022</v>
      </c>
      <c r="J4" s="2">
        <v>2016</v>
      </c>
      <c r="K4" s="2">
        <v>2017</v>
      </c>
      <c r="L4" s="2">
        <v>2018</v>
      </c>
      <c r="M4" s="2">
        <v>2019</v>
      </c>
      <c r="N4" s="2">
        <v>2020</v>
      </c>
      <c r="O4" s="2">
        <v>2021</v>
      </c>
      <c r="P4" s="2">
        <v>2022</v>
      </c>
    </row>
    <row r="5" spans="1:16" x14ac:dyDescent="0.2">
      <c r="A5" s="20" t="s">
        <v>4</v>
      </c>
      <c r="B5" s="20"/>
      <c r="C5" s="4">
        <v>4082547</v>
      </c>
      <c r="D5" s="4">
        <v>4245218</v>
      </c>
      <c r="E5" s="4">
        <v>4354689</v>
      </c>
      <c r="F5" s="4">
        <v>4449429</v>
      </c>
      <c r="G5" s="4">
        <v>4428536</v>
      </c>
      <c r="H5" s="4">
        <v>4540953</v>
      </c>
      <c r="I5" s="4">
        <v>4719549</v>
      </c>
      <c r="J5" s="4">
        <v>11117</v>
      </c>
      <c r="K5" s="4">
        <v>11358</v>
      </c>
      <c r="L5" s="4">
        <v>11699</v>
      </c>
      <c r="M5" s="4">
        <v>12074</v>
      </c>
      <c r="N5" s="4">
        <v>12515</v>
      </c>
      <c r="O5" s="4">
        <v>12978</v>
      </c>
      <c r="P5" s="4">
        <v>13396</v>
      </c>
    </row>
    <row r="6" spans="1:16" x14ac:dyDescent="0.2">
      <c r="A6" s="5" t="s">
        <v>5</v>
      </c>
      <c r="B6" s="3" t="s">
        <v>6</v>
      </c>
      <c r="C6" s="4">
        <v>392835</v>
      </c>
      <c r="D6" s="4">
        <v>412794</v>
      </c>
      <c r="E6" s="4">
        <v>428093</v>
      </c>
      <c r="F6" s="4">
        <v>448159</v>
      </c>
      <c r="G6" s="4">
        <v>445882</v>
      </c>
      <c r="H6" s="4">
        <v>459077</v>
      </c>
      <c r="I6" s="4">
        <v>481551</v>
      </c>
      <c r="J6" s="4">
        <v>9671</v>
      </c>
      <c r="K6" s="4">
        <v>9840</v>
      </c>
      <c r="L6" s="4">
        <v>10025</v>
      </c>
      <c r="M6" s="4">
        <v>10373</v>
      </c>
      <c r="N6" s="4">
        <v>10610</v>
      </c>
      <c r="O6" s="4">
        <v>10824</v>
      </c>
      <c r="P6" s="4">
        <v>11021</v>
      </c>
    </row>
    <row r="7" spans="1:16" ht="14.25" customHeight="1" x14ac:dyDescent="0.2">
      <c r="A7" s="11" t="s">
        <v>7</v>
      </c>
      <c r="B7" s="3" t="s">
        <v>6</v>
      </c>
      <c r="C7" s="4">
        <v>663121</v>
      </c>
      <c r="D7" s="4">
        <v>698448</v>
      </c>
      <c r="E7" s="4">
        <v>720935</v>
      </c>
      <c r="F7" s="4">
        <v>738592</v>
      </c>
      <c r="G7" s="4">
        <v>735463</v>
      </c>
      <c r="H7" s="4">
        <v>755383</v>
      </c>
      <c r="I7" s="4">
        <v>788643</v>
      </c>
      <c r="J7" s="4">
        <v>9275</v>
      </c>
      <c r="K7" s="4">
        <v>9484</v>
      </c>
      <c r="L7" s="4">
        <v>9740</v>
      </c>
      <c r="M7" s="4">
        <v>10052</v>
      </c>
      <c r="N7" s="4">
        <v>10372</v>
      </c>
      <c r="O7" s="4">
        <v>10668</v>
      </c>
      <c r="P7" s="4">
        <v>10821</v>
      </c>
    </row>
    <row r="8" spans="1:16" x14ac:dyDescent="0.2">
      <c r="A8" s="11"/>
      <c r="B8" s="5" t="s">
        <v>8</v>
      </c>
      <c r="C8" s="4">
        <v>58754</v>
      </c>
      <c r="D8" s="4">
        <v>60860</v>
      </c>
      <c r="E8" s="4">
        <v>61979</v>
      </c>
      <c r="F8" s="4">
        <v>63252</v>
      </c>
      <c r="G8" s="4">
        <v>61570</v>
      </c>
      <c r="H8" s="4">
        <v>62854</v>
      </c>
      <c r="I8" s="4">
        <v>65135</v>
      </c>
      <c r="J8" s="4">
        <v>9161</v>
      </c>
      <c r="K8" s="4">
        <v>9394</v>
      </c>
      <c r="L8" s="4">
        <v>9704</v>
      </c>
      <c r="M8" s="4">
        <v>10052</v>
      </c>
      <c r="N8" s="4">
        <v>10320</v>
      </c>
      <c r="O8" s="4">
        <v>10657</v>
      </c>
      <c r="P8" s="4">
        <v>10842</v>
      </c>
    </row>
    <row r="9" spans="1:16" ht="22.5" x14ac:dyDescent="0.2">
      <c r="A9" s="11"/>
      <c r="B9" s="5" t="s">
        <v>26</v>
      </c>
      <c r="C9" s="4">
        <v>581374</v>
      </c>
      <c r="D9" s="4">
        <v>613375</v>
      </c>
      <c r="E9" s="4">
        <v>633671</v>
      </c>
      <c r="F9" s="4">
        <v>649273</v>
      </c>
      <c r="G9" s="4">
        <v>647895</v>
      </c>
      <c r="H9" s="4">
        <v>665458</v>
      </c>
      <c r="I9" s="4">
        <v>695121</v>
      </c>
      <c r="J9" s="4">
        <v>9281</v>
      </c>
      <c r="K9" s="4">
        <v>9496.3333333333339</v>
      </c>
      <c r="L9" s="4">
        <v>9763.6666666666661</v>
      </c>
      <c r="M9" s="4">
        <v>10089</v>
      </c>
      <c r="N9" s="4">
        <v>10421.666666666666</v>
      </c>
      <c r="O9" s="4">
        <v>10712.333333333334</v>
      </c>
      <c r="P9" s="4">
        <v>10878.333333333334</v>
      </c>
    </row>
    <row r="10" spans="1:16" x14ac:dyDescent="0.2">
      <c r="A10" s="11"/>
      <c r="B10" s="5" t="s">
        <v>9</v>
      </c>
      <c r="C10" s="4">
        <v>52320</v>
      </c>
      <c r="D10" s="4">
        <v>54800</v>
      </c>
      <c r="E10" s="4">
        <v>56161</v>
      </c>
      <c r="F10" s="4">
        <v>57791</v>
      </c>
      <c r="G10" s="4">
        <v>56979</v>
      </c>
      <c r="H10" s="4">
        <v>57911</v>
      </c>
      <c r="I10" s="4">
        <v>60216</v>
      </c>
      <c r="J10" s="4">
        <v>9150</v>
      </c>
      <c r="K10" s="4">
        <v>9401</v>
      </c>
      <c r="L10" s="4">
        <v>9709</v>
      </c>
      <c r="M10" s="4">
        <v>10088</v>
      </c>
      <c r="N10" s="4">
        <v>10434</v>
      </c>
      <c r="O10" s="4">
        <v>10723</v>
      </c>
      <c r="P10" s="4">
        <v>10923</v>
      </c>
    </row>
    <row r="11" spans="1:16" x14ac:dyDescent="0.2">
      <c r="A11" s="11"/>
      <c r="B11" s="5" t="s">
        <v>10</v>
      </c>
      <c r="C11" s="4">
        <v>237006</v>
      </c>
      <c r="D11" s="4">
        <v>249219</v>
      </c>
      <c r="E11" s="4">
        <v>257467</v>
      </c>
      <c r="F11" s="4">
        <v>263754</v>
      </c>
      <c r="G11" s="4">
        <v>263623</v>
      </c>
      <c r="H11" s="4">
        <v>269927</v>
      </c>
      <c r="I11" s="4">
        <v>281916</v>
      </c>
      <c r="J11" s="4">
        <v>9435</v>
      </c>
      <c r="K11" s="4">
        <v>9626</v>
      </c>
      <c r="L11" s="4">
        <v>9861</v>
      </c>
      <c r="M11" s="4">
        <v>10136</v>
      </c>
      <c r="N11" s="4">
        <v>10501</v>
      </c>
      <c r="O11" s="4">
        <v>10808</v>
      </c>
      <c r="P11" s="4">
        <v>10975</v>
      </c>
    </row>
    <row r="12" spans="1:16" x14ac:dyDescent="0.2">
      <c r="A12" s="11"/>
      <c r="B12" s="5" t="s">
        <v>11</v>
      </c>
      <c r="C12" s="4">
        <v>292048</v>
      </c>
      <c r="D12" s="4">
        <v>309356</v>
      </c>
      <c r="E12" s="4">
        <v>320043</v>
      </c>
      <c r="F12" s="4">
        <v>327728</v>
      </c>
      <c r="G12" s="4">
        <v>327293</v>
      </c>
      <c r="H12" s="4">
        <v>337620</v>
      </c>
      <c r="I12" s="4">
        <v>352989</v>
      </c>
      <c r="J12" s="4">
        <v>9258</v>
      </c>
      <c r="K12" s="4">
        <v>9462</v>
      </c>
      <c r="L12" s="4">
        <v>9721</v>
      </c>
      <c r="M12" s="4">
        <v>10043</v>
      </c>
      <c r="N12" s="4">
        <v>10330</v>
      </c>
      <c r="O12" s="4">
        <v>10606</v>
      </c>
      <c r="P12" s="4">
        <v>10737</v>
      </c>
    </row>
    <row r="13" spans="1:16" x14ac:dyDescent="0.2">
      <c r="A13" s="11"/>
      <c r="B13" s="5" t="s">
        <v>12</v>
      </c>
      <c r="C13" s="4">
        <v>22993</v>
      </c>
      <c r="D13" s="4">
        <v>24213</v>
      </c>
      <c r="E13" s="4">
        <v>25285</v>
      </c>
      <c r="F13" s="4">
        <v>26067</v>
      </c>
      <c r="G13" s="4">
        <v>25998</v>
      </c>
      <c r="H13" s="4">
        <v>27071</v>
      </c>
      <c r="I13" s="4">
        <v>28387</v>
      </c>
      <c r="J13" s="4">
        <v>8415</v>
      </c>
      <c r="K13" s="4">
        <v>8698</v>
      </c>
      <c r="L13" s="4">
        <v>8909</v>
      </c>
      <c r="M13" s="4">
        <v>9229</v>
      </c>
      <c r="N13" s="4">
        <v>9575</v>
      </c>
      <c r="O13" s="4">
        <v>9955</v>
      </c>
      <c r="P13" s="4">
        <v>10079</v>
      </c>
    </row>
    <row r="14" spans="1:16" ht="22.5" x14ac:dyDescent="0.2">
      <c r="A14" s="5"/>
      <c r="B14" s="5" t="s">
        <v>26</v>
      </c>
      <c r="C14" s="4">
        <v>581374</v>
      </c>
      <c r="D14" s="4">
        <v>613375</v>
      </c>
      <c r="E14" s="4">
        <v>633671</v>
      </c>
      <c r="F14" s="4">
        <v>649273</v>
      </c>
      <c r="G14" s="4">
        <v>647895</v>
      </c>
      <c r="H14" s="4">
        <v>665458</v>
      </c>
      <c r="I14" s="4">
        <v>695121</v>
      </c>
      <c r="J14" s="4">
        <v>9281</v>
      </c>
      <c r="K14" s="4">
        <v>9496.3333333333339</v>
      </c>
      <c r="L14" s="4">
        <v>9763.6666666666661</v>
      </c>
      <c r="M14" s="4">
        <v>10089</v>
      </c>
      <c r="N14" s="4">
        <v>10421.666666666666</v>
      </c>
      <c r="O14" s="4">
        <v>10712.333333333334</v>
      </c>
      <c r="P14" s="4">
        <v>10878.333333333334</v>
      </c>
    </row>
    <row r="15" spans="1:16" x14ac:dyDescent="0.2">
      <c r="A15" s="5"/>
      <c r="B15" s="5" t="s">
        <v>25</v>
      </c>
      <c r="C15" s="4">
        <v>81747</v>
      </c>
      <c r="D15" s="4">
        <v>85073</v>
      </c>
      <c r="E15" s="4">
        <v>87264</v>
      </c>
      <c r="F15" s="4">
        <v>89319</v>
      </c>
      <c r="G15" s="4">
        <v>87568</v>
      </c>
      <c r="H15" s="4">
        <v>89925</v>
      </c>
      <c r="I15" s="4">
        <v>93522</v>
      </c>
      <c r="J15" s="4">
        <v>8788</v>
      </c>
      <c r="K15" s="4">
        <v>9046</v>
      </c>
      <c r="L15" s="4">
        <v>9306.5</v>
      </c>
      <c r="M15" s="4">
        <v>9640.5</v>
      </c>
      <c r="N15" s="4">
        <v>9947.5</v>
      </c>
      <c r="O15" s="4">
        <v>10306</v>
      </c>
      <c r="P15" s="4">
        <v>10460.5</v>
      </c>
    </row>
    <row r="16" spans="1:16" x14ac:dyDescent="0.2">
      <c r="A16" s="11" t="s">
        <v>13</v>
      </c>
      <c r="B16" s="3" t="s">
        <v>6</v>
      </c>
      <c r="C16" s="4">
        <v>489201</v>
      </c>
      <c r="D16" s="4">
        <v>507939</v>
      </c>
      <c r="E16" s="4">
        <v>519760</v>
      </c>
      <c r="F16" s="4">
        <v>529918</v>
      </c>
      <c r="G16" s="4">
        <v>529158</v>
      </c>
      <c r="H16" s="4">
        <v>544129</v>
      </c>
      <c r="I16" s="4">
        <v>566378</v>
      </c>
      <c r="J16" s="4">
        <v>10952</v>
      </c>
      <c r="K16" s="4">
        <v>11162</v>
      </c>
      <c r="L16" s="4">
        <v>11467</v>
      </c>
      <c r="M16" s="4">
        <v>11864</v>
      </c>
      <c r="N16" s="4">
        <v>12246</v>
      </c>
      <c r="O16" s="4">
        <v>12626</v>
      </c>
      <c r="P16" s="4">
        <v>12973</v>
      </c>
    </row>
    <row r="17" spans="1:16" x14ac:dyDescent="0.2">
      <c r="A17" s="11"/>
      <c r="B17" s="5" t="s">
        <v>13</v>
      </c>
      <c r="C17" s="4">
        <v>293904</v>
      </c>
      <c r="D17" s="4">
        <v>300846</v>
      </c>
      <c r="E17" s="4">
        <v>304492</v>
      </c>
      <c r="F17" s="4">
        <v>308436</v>
      </c>
      <c r="G17" s="4">
        <v>303063</v>
      </c>
      <c r="H17" s="4">
        <v>306983</v>
      </c>
      <c r="I17" s="4">
        <v>316591</v>
      </c>
      <c r="J17" s="4">
        <v>11329</v>
      </c>
      <c r="K17" s="4">
        <v>11568</v>
      </c>
      <c r="L17" s="4">
        <v>11897</v>
      </c>
      <c r="M17" s="4">
        <v>12392</v>
      </c>
      <c r="N17" s="4">
        <v>12797</v>
      </c>
      <c r="O17" s="4">
        <v>13145</v>
      </c>
      <c r="P17" s="4">
        <v>13525</v>
      </c>
    </row>
    <row r="18" spans="1:16" x14ac:dyDescent="0.2">
      <c r="A18" s="11"/>
      <c r="B18" s="5" t="s">
        <v>14</v>
      </c>
      <c r="C18" s="4">
        <v>195297</v>
      </c>
      <c r="D18" s="4">
        <v>207093</v>
      </c>
      <c r="E18" s="4">
        <v>215268</v>
      </c>
      <c r="F18" s="4">
        <v>221482</v>
      </c>
      <c r="G18" s="4">
        <v>226095</v>
      </c>
      <c r="H18" s="4">
        <v>237146</v>
      </c>
      <c r="I18" s="4">
        <v>249787</v>
      </c>
      <c r="J18" s="4">
        <v>10372</v>
      </c>
      <c r="K18" s="4">
        <v>10561</v>
      </c>
      <c r="L18" s="4">
        <v>10848</v>
      </c>
      <c r="M18" s="4">
        <v>11115</v>
      </c>
      <c r="N18" s="4">
        <v>11491</v>
      </c>
      <c r="O18" s="4">
        <v>11942</v>
      </c>
      <c r="P18" s="4">
        <v>12265</v>
      </c>
    </row>
    <row r="19" spans="1:16" x14ac:dyDescent="0.2">
      <c r="A19" s="11" t="s">
        <v>15</v>
      </c>
      <c r="B19" s="3" t="s">
        <v>6</v>
      </c>
      <c r="C19" s="4">
        <v>1075851</v>
      </c>
      <c r="D19" s="4">
        <v>1113607</v>
      </c>
      <c r="E19" s="4">
        <v>1139615</v>
      </c>
      <c r="F19" s="4">
        <v>1154972</v>
      </c>
      <c r="G19" s="4">
        <v>1153014</v>
      </c>
      <c r="H19" s="4">
        <v>1180494</v>
      </c>
      <c r="I19" s="4">
        <v>1220853</v>
      </c>
      <c r="J19" s="4">
        <v>12495</v>
      </c>
      <c r="K19" s="4">
        <v>12780</v>
      </c>
      <c r="L19" s="4">
        <v>13135</v>
      </c>
      <c r="M19" s="4">
        <v>13577</v>
      </c>
      <c r="N19" s="4">
        <v>14102</v>
      </c>
      <c r="O19" s="4">
        <v>14678</v>
      </c>
      <c r="P19" s="4">
        <v>15281</v>
      </c>
    </row>
    <row r="20" spans="1:16" x14ac:dyDescent="0.2">
      <c r="A20" s="11"/>
      <c r="B20" s="5" t="s">
        <v>16</v>
      </c>
      <c r="C20" s="4">
        <v>228441</v>
      </c>
      <c r="D20" s="4">
        <v>237148</v>
      </c>
      <c r="E20" s="4">
        <v>242634</v>
      </c>
      <c r="F20" s="4">
        <v>245839</v>
      </c>
      <c r="G20" s="4">
        <v>243866</v>
      </c>
      <c r="H20" s="4">
        <v>249585</v>
      </c>
      <c r="I20" s="4">
        <v>258982</v>
      </c>
      <c r="J20" s="4">
        <v>11574</v>
      </c>
      <c r="K20" s="4">
        <v>11782</v>
      </c>
      <c r="L20" s="4">
        <v>11877</v>
      </c>
      <c r="M20" s="4">
        <v>12341</v>
      </c>
      <c r="N20" s="4">
        <v>12698</v>
      </c>
      <c r="O20" s="4">
        <v>13297</v>
      </c>
      <c r="P20" s="4">
        <v>13831</v>
      </c>
    </row>
    <row r="21" spans="1:16" x14ac:dyDescent="0.2">
      <c r="A21" s="11"/>
      <c r="B21" s="5" t="s">
        <v>17</v>
      </c>
      <c r="C21" s="4">
        <v>366293</v>
      </c>
      <c r="D21" s="4">
        <v>378803</v>
      </c>
      <c r="E21" s="4">
        <v>388754</v>
      </c>
      <c r="F21" s="4">
        <v>395707</v>
      </c>
      <c r="G21" s="4">
        <v>398205</v>
      </c>
      <c r="H21" s="4">
        <v>408601</v>
      </c>
      <c r="I21" s="4">
        <v>422310</v>
      </c>
      <c r="J21" s="4">
        <v>13204</v>
      </c>
      <c r="K21" s="4">
        <v>13543</v>
      </c>
      <c r="L21" s="4">
        <v>13987</v>
      </c>
      <c r="M21" s="4">
        <v>14429</v>
      </c>
      <c r="N21" s="4">
        <v>15056</v>
      </c>
      <c r="O21" s="4">
        <v>15720</v>
      </c>
      <c r="P21" s="4">
        <v>16401</v>
      </c>
    </row>
    <row r="22" spans="1:16" x14ac:dyDescent="0.2">
      <c r="A22" s="11"/>
      <c r="B22" s="5" t="s">
        <v>18</v>
      </c>
      <c r="C22" s="4">
        <v>169150</v>
      </c>
      <c r="D22" s="4">
        <v>176212</v>
      </c>
      <c r="E22" s="4">
        <v>181027</v>
      </c>
      <c r="F22" s="4">
        <v>183855</v>
      </c>
      <c r="G22" s="4">
        <v>183131</v>
      </c>
      <c r="H22" s="4">
        <v>188235</v>
      </c>
      <c r="I22" s="4">
        <v>196370</v>
      </c>
      <c r="J22" s="4">
        <v>12372</v>
      </c>
      <c r="K22" s="4">
        <v>12633</v>
      </c>
      <c r="L22" s="4">
        <v>13097</v>
      </c>
      <c r="M22" s="4">
        <v>13428</v>
      </c>
      <c r="N22" s="4">
        <v>13947</v>
      </c>
      <c r="O22" s="4">
        <v>14379</v>
      </c>
      <c r="P22" s="4">
        <v>14974</v>
      </c>
    </row>
    <row r="23" spans="1:16" x14ac:dyDescent="0.2">
      <c r="A23" s="11"/>
      <c r="B23" s="5" t="s">
        <v>19</v>
      </c>
      <c r="C23" s="4">
        <v>311967</v>
      </c>
      <c r="D23" s="4">
        <v>321444</v>
      </c>
      <c r="E23" s="4">
        <v>327200</v>
      </c>
      <c r="F23" s="4">
        <v>329571</v>
      </c>
      <c r="G23" s="4">
        <v>327812</v>
      </c>
      <c r="H23" s="4">
        <v>334073</v>
      </c>
      <c r="I23" s="4">
        <v>343191</v>
      </c>
      <c r="J23" s="4">
        <v>12394</v>
      </c>
      <c r="K23" s="4">
        <v>12687</v>
      </c>
      <c r="L23" s="4">
        <v>13065</v>
      </c>
      <c r="M23" s="4">
        <v>13548</v>
      </c>
      <c r="N23" s="4">
        <v>14052</v>
      </c>
      <c r="O23" s="4">
        <v>14583</v>
      </c>
      <c r="P23" s="4">
        <v>15159</v>
      </c>
    </row>
    <row r="24" spans="1:16" x14ac:dyDescent="0.2">
      <c r="A24" s="5" t="s">
        <v>20</v>
      </c>
      <c r="B24" s="3" t="s">
        <v>6</v>
      </c>
      <c r="C24" s="4">
        <v>718564</v>
      </c>
      <c r="D24" s="4">
        <v>737486</v>
      </c>
      <c r="E24" s="4">
        <v>748633</v>
      </c>
      <c r="F24" s="4">
        <v>762991</v>
      </c>
      <c r="G24" s="4">
        <v>754595</v>
      </c>
      <c r="H24" s="4">
        <v>766738</v>
      </c>
      <c r="I24" s="4">
        <v>790518</v>
      </c>
      <c r="J24" s="4">
        <v>12676</v>
      </c>
      <c r="K24" s="4">
        <v>12989</v>
      </c>
      <c r="L24" s="4">
        <v>13588</v>
      </c>
      <c r="M24" s="4">
        <v>13988</v>
      </c>
      <c r="N24" s="4">
        <v>14642</v>
      </c>
      <c r="O24" s="4">
        <v>15489</v>
      </c>
      <c r="P24" s="4">
        <v>16263</v>
      </c>
    </row>
    <row r="25" spans="1:16" x14ac:dyDescent="0.2">
      <c r="A25" s="11" t="s">
        <v>21</v>
      </c>
      <c r="B25" s="3" t="s">
        <v>6</v>
      </c>
      <c r="C25" s="4">
        <v>578624</v>
      </c>
      <c r="D25" s="4">
        <v>602413</v>
      </c>
      <c r="E25" s="4">
        <v>617685</v>
      </c>
      <c r="F25" s="4">
        <v>631072</v>
      </c>
      <c r="G25" s="4">
        <v>625531</v>
      </c>
      <c r="H25" s="4">
        <v>641890</v>
      </c>
      <c r="I25" s="4">
        <v>668696</v>
      </c>
      <c r="J25" s="4">
        <v>9920</v>
      </c>
      <c r="K25" s="4">
        <v>10191</v>
      </c>
      <c r="L25" s="4">
        <v>10497</v>
      </c>
      <c r="M25" s="4">
        <v>10854</v>
      </c>
      <c r="N25" s="4">
        <v>11248</v>
      </c>
      <c r="O25" s="4">
        <v>11534</v>
      </c>
      <c r="P25" s="4">
        <v>11822</v>
      </c>
    </row>
    <row r="26" spans="1:16" x14ac:dyDescent="0.2">
      <c r="A26" s="11"/>
      <c r="B26" s="5" t="s">
        <v>22</v>
      </c>
      <c r="C26" s="4">
        <v>270318</v>
      </c>
      <c r="D26" s="4">
        <v>279560</v>
      </c>
      <c r="E26" s="4">
        <v>285543</v>
      </c>
      <c r="F26" s="4">
        <v>289914</v>
      </c>
      <c r="G26" s="4">
        <v>287421</v>
      </c>
      <c r="H26" s="4">
        <v>293351</v>
      </c>
      <c r="I26" s="4">
        <v>303777</v>
      </c>
      <c r="J26" s="4">
        <v>9815</v>
      </c>
      <c r="K26" s="4">
        <v>10131</v>
      </c>
      <c r="L26" s="4">
        <v>10473</v>
      </c>
      <c r="M26" s="4">
        <v>10835</v>
      </c>
      <c r="N26" s="4">
        <v>11256</v>
      </c>
      <c r="O26" s="4">
        <v>11593</v>
      </c>
      <c r="P26" s="4">
        <v>11935</v>
      </c>
    </row>
    <row r="27" spans="1:16" x14ac:dyDescent="0.2">
      <c r="A27" s="11"/>
      <c r="B27" s="5" t="s">
        <v>23</v>
      </c>
      <c r="C27" s="4">
        <v>308306</v>
      </c>
      <c r="D27" s="4">
        <v>322853</v>
      </c>
      <c r="E27" s="4">
        <v>332142</v>
      </c>
      <c r="F27" s="4">
        <v>341158</v>
      </c>
      <c r="G27" s="4">
        <v>338110</v>
      </c>
      <c r="H27" s="4">
        <v>348539</v>
      </c>
      <c r="I27" s="4">
        <v>364919</v>
      </c>
      <c r="J27" s="4">
        <v>10014</v>
      </c>
      <c r="K27" s="4">
        <v>10244</v>
      </c>
      <c r="L27" s="4">
        <v>10518</v>
      </c>
      <c r="M27" s="4">
        <v>10872</v>
      </c>
      <c r="N27" s="4">
        <v>11241</v>
      </c>
      <c r="O27" s="4">
        <v>11483</v>
      </c>
      <c r="P27" s="4">
        <v>11724</v>
      </c>
    </row>
    <row r="28" spans="1:16" ht="22.5" x14ac:dyDescent="0.2">
      <c r="A28" s="6" t="s">
        <v>24</v>
      </c>
      <c r="B28" s="7" t="s">
        <v>6</v>
      </c>
      <c r="C28" s="8">
        <v>164351</v>
      </c>
      <c r="D28" s="8">
        <v>172531</v>
      </c>
      <c r="E28" s="8">
        <v>179968</v>
      </c>
      <c r="F28" s="8">
        <v>183725</v>
      </c>
      <c r="G28" s="8">
        <v>184893</v>
      </c>
      <c r="H28" s="8">
        <v>193242</v>
      </c>
      <c r="I28" s="8">
        <v>202910</v>
      </c>
      <c r="J28" s="8">
        <v>10332</v>
      </c>
      <c r="K28" s="8">
        <v>10579</v>
      </c>
      <c r="L28" s="8">
        <v>10845</v>
      </c>
      <c r="M28" s="8">
        <v>11185</v>
      </c>
      <c r="N28" s="8">
        <v>11470</v>
      </c>
      <c r="O28" s="8">
        <v>11791</v>
      </c>
      <c r="P28" s="8">
        <v>12127</v>
      </c>
    </row>
    <row r="29" spans="1:16" x14ac:dyDescent="0.2">
      <c r="E29" s="4"/>
      <c r="L29" s="4"/>
    </row>
    <row r="30" spans="1:16" x14ac:dyDescent="0.2">
      <c r="E30" s="4"/>
      <c r="L30" s="4"/>
    </row>
    <row r="31" spans="1:16" x14ac:dyDescent="0.2">
      <c r="E31" s="4"/>
      <c r="L31" s="4"/>
    </row>
    <row r="32" spans="1:16" x14ac:dyDescent="0.2">
      <c r="E32" s="4"/>
      <c r="L32" s="4"/>
    </row>
    <row r="33" spans="5:12" x14ac:dyDescent="0.2">
      <c r="E33" s="4"/>
      <c r="L33" s="4"/>
    </row>
    <row r="34" spans="5:12" x14ac:dyDescent="0.2">
      <c r="E34" s="4"/>
      <c r="L34" s="4"/>
    </row>
    <row r="35" spans="5:12" x14ac:dyDescent="0.2">
      <c r="E35" s="4"/>
      <c r="L35" s="4"/>
    </row>
    <row r="36" spans="5:12" x14ac:dyDescent="0.2">
      <c r="E36" s="4"/>
      <c r="L36" s="4"/>
    </row>
    <row r="37" spans="5:12" x14ac:dyDescent="0.2">
      <c r="E37" s="4"/>
      <c r="L37" s="4"/>
    </row>
    <row r="38" spans="5:12" x14ac:dyDescent="0.2">
      <c r="E38" s="4"/>
      <c r="L38" s="4"/>
    </row>
    <row r="39" spans="5:12" x14ac:dyDescent="0.2">
      <c r="E39" s="4"/>
      <c r="L39" s="4"/>
    </row>
    <row r="40" spans="5:12" x14ac:dyDescent="0.2">
      <c r="E40" s="4"/>
      <c r="L40" s="4"/>
    </row>
    <row r="41" spans="5:12" x14ac:dyDescent="0.2">
      <c r="E41" s="4"/>
      <c r="L41" s="4"/>
    </row>
    <row r="42" spans="5:12" x14ac:dyDescent="0.2">
      <c r="E42" s="4"/>
      <c r="L42" s="4"/>
    </row>
    <row r="43" spans="5:12" x14ac:dyDescent="0.2">
      <c r="E43" s="4"/>
      <c r="L43" s="4"/>
    </row>
    <row r="44" spans="5:12" x14ac:dyDescent="0.2">
      <c r="E44" s="4"/>
      <c r="L44" s="4"/>
    </row>
    <row r="45" spans="5:12" x14ac:dyDescent="0.2">
      <c r="E45" s="4"/>
      <c r="L45" s="4"/>
    </row>
    <row r="46" spans="5:12" x14ac:dyDescent="0.2">
      <c r="E46" s="4"/>
      <c r="L46" s="4"/>
    </row>
    <row r="47" spans="5:12" x14ac:dyDescent="0.2">
      <c r="E47" s="4"/>
      <c r="L47" s="4"/>
    </row>
    <row r="48" spans="5:12" x14ac:dyDescent="0.2">
      <c r="E48" s="4"/>
      <c r="L48" s="4"/>
    </row>
    <row r="49" spans="5:12" x14ac:dyDescent="0.2">
      <c r="E49" s="4"/>
      <c r="L49" s="4"/>
    </row>
    <row r="50" spans="5:12" x14ac:dyDescent="0.2">
      <c r="E50" s="4"/>
      <c r="L50" s="4"/>
    </row>
    <row r="51" spans="5:12" x14ac:dyDescent="0.2">
      <c r="E51" s="4"/>
      <c r="L51" s="4"/>
    </row>
    <row r="52" spans="5:12" x14ac:dyDescent="0.2">
      <c r="E52" s="4"/>
      <c r="L52" s="4"/>
    </row>
    <row r="53" spans="5:12" x14ac:dyDescent="0.2">
      <c r="E53" s="4"/>
      <c r="L53" s="4"/>
    </row>
    <row r="54" spans="5:12" x14ac:dyDescent="0.2">
      <c r="E54" s="4"/>
      <c r="L54" s="4"/>
    </row>
    <row r="55" spans="5:12" x14ac:dyDescent="0.2">
      <c r="E55" s="4"/>
      <c r="L55" s="4"/>
    </row>
    <row r="56" spans="5:12" x14ac:dyDescent="0.2">
      <c r="E56" s="4"/>
      <c r="L56" s="4"/>
    </row>
    <row r="57" spans="5:12" x14ac:dyDescent="0.2">
      <c r="E57" s="4"/>
    </row>
    <row r="58" spans="5:12" x14ac:dyDescent="0.2">
      <c r="E58" s="4"/>
    </row>
    <row r="59" spans="5:12" x14ac:dyDescent="0.2">
      <c r="E59" s="4"/>
    </row>
    <row r="60" spans="5:12" x14ac:dyDescent="0.2">
      <c r="E60" s="4"/>
    </row>
    <row r="61" spans="5:12" x14ac:dyDescent="0.2">
      <c r="E61" s="4"/>
    </row>
    <row r="62" spans="5:12" x14ac:dyDescent="0.2">
      <c r="E62" s="4"/>
    </row>
    <row r="63" spans="5:12" x14ac:dyDescent="0.2">
      <c r="E63" s="4"/>
    </row>
    <row r="64" spans="5:12" x14ac:dyDescent="0.2">
      <c r="E64" s="4"/>
    </row>
    <row r="65" spans="5:5" x14ac:dyDescent="0.2">
      <c r="E65" s="4"/>
    </row>
    <row r="66" spans="5:5" x14ac:dyDescent="0.2">
      <c r="E66" s="4"/>
    </row>
    <row r="67" spans="5:5" x14ac:dyDescent="0.2">
      <c r="E67" s="4"/>
    </row>
    <row r="68" spans="5:5" x14ac:dyDescent="0.2">
      <c r="E68" s="4"/>
    </row>
    <row r="69" spans="5:5" x14ac:dyDescent="0.2">
      <c r="E69" s="4"/>
    </row>
  </sheetData>
  <mergeCells count="9">
    <mergeCell ref="A16:A18"/>
    <mergeCell ref="A19:A23"/>
    <mergeCell ref="A25:A27"/>
    <mergeCell ref="A1:P1"/>
    <mergeCell ref="A3:B4"/>
    <mergeCell ref="C3:I3"/>
    <mergeCell ref="J3:P3"/>
    <mergeCell ref="A5:B5"/>
    <mergeCell ref="A7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BFD9-FE5E-4D04-97B7-4687666D350B}">
  <dimension ref="A1:O54"/>
  <sheetViews>
    <sheetView rightToLeft="1" tabSelected="1" topLeftCell="A18" zoomScale="70" zoomScaleNormal="70" workbookViewId="0">
      <selection activeCell="F26" sqref="F26"/>
    </sheetView>
  </sheetViews>
  <sheetFormatPr defaultRowHeight="14.25" x14ac:dyDescent="0.2"/>
  <cols>
    <col min="1" max="1" width="8.125" bestFit="1" customWidth="1"/>
    <col min="3" max="4" width="9.625" bestFit="1" customWidth="1"/>
  </cols>
  <sheetData>
    <row r="1" spans="1:15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4.25" customHeight="1" x14ac:dyDescent="0.2">
      <c r="A3" s="13" t="s">
        <v>1</v>
      </c>
      <c r="B3" s="17" t="s">
        <v>2</v>
      </c>
      <c r="C3" s="18"/>
      <c r="D3" s="18"/>
      <c r="E3" s="18"/>
      <c r="F3" s="18"/>
      <c r="G3" s="18"/>
      <c r="H3" s="19"/>
      <c r="I3" s="17" t="s">
        <v>3</v>
      </c>
      <c r="J3" s="18"/>
      <c r="K3" s="18"/>
      <c r="L3" s="18"/>
      <c r="M3" s="18"/>
      <c r="N3" s="18"/>
      <c r="O3" s="19"/>
    </row>
    <row r="4" spans="1:15" x14ac:dyDescent="0.2">
      <c r="A4" s="15"/>
      <c r="B4" s="2">
        <v>2016</v>
      </c>
      <c r="C4" s="2">
        <v>2017</v>
      </c>
      <c r="D4" s="2">
        <v>2018</v>
      </c>
      <c r="E4" s="2">
        <v>2019</v>
      </c>
      <c r="F4" s="2">
        <v>2020</v>
      </c>
      <c r="G4" s="2">
        <v>2021</v>
      </c>
      <c r="H4" s="2">
        <v>2022</v>
      </c>
      <c r="I4" s="2">
        <v>2016</v>
      </c>
      <c r="J4" s="2">
        <v>2017</v>
      </c>
      <c r="K4" s="2">
        <v>2018</v>
      </c>
      <c r="L4" s="2">
        <v>2019</v>
      </c>
      <c r="M4" s="2">
        <v>2020</v>
      </c>
      <c r="N4" s="2">
        <v>2021</v>
      </c>
      <c r="O4" s="2">
        <v>2022</v>
      </c>
    </row>
    <row r="5" spans="1:15" ht="22.5" x14ac:dyDescent="0.2">
      <c r="A5" s="3" t="s">
        <v>4</v>
      </c>
      <c r="B5" s="4">
        <v>4082547</v>
      </c>
      <c r="C5" s="4">
        <v>4245218</v>
      </c>
      <c r="D5" s="4">
        <v>4354689</v>
      </c>
      <c r="E5" s="4">
        <v>4449429</v>
      </c>
      <c r="F5" s="4">
        <v>4428536</v>
      </c>
      <c r="G5" s="4">
        <v>4540953</v>
      </c>
      <c r="H5" s="4">
        <v>4719549</v>
      </c>
      <c r="I5" s="4">
        <v>11117</v>
      </c>
      <c r="J5" s="4">
        <v>11358</v>
      </c>
      <c r="K5" s="4">
        <v>11699</v>
      </c>
      <c r="L5" s="4">
        <v>12074</v>
      </c>
      <c r="M5" s="4">
        <v>12515</v>
      </c>
      <c r="N5" s="4">
        <v>12978</v>
      </c>
      <c r="O5" s="4">
        <v>13396</v>
      </c>
    </row>
    <row r="6" spans="1:15" x14ac:dyDescent="0.2">
      <c r="A6" s="5" t="s">
        <v>5</v>
      </c>
      <c r="B6" s="4">
        <v>392835</v>
      </c>
      <c r="C6" s="4">
        <v>412794</v>
      </c>
      <c r="D6" s="4">
        <v>428093</v>
      </c>
      <c r="E6" s="4">
        <v>448159</v>
      </c>
      <c r="F6" s="4">
        <v>445882</v>
      </c>
      <c r="G6" s="4">
        <v>459077</v>
      </c>
      <c r="H6" s="4">
        <v>481551</v>
      </c>
      <c r="I6" s="4">
        <v>9671</v>
      </c>
      <c r="J6" s="4">
        <v>9840</v>
      </c>
      <c r="K6" s="4">
        <v>10025</v>
      </c>
      <c r="L6" s="4">
        <v>10373</v>
      </c>
      <c r="M6" s="4">
        <v>10610</v>
      </c>
      <c r="N6" s="4">
        <v>10824</v>
      </c>
      <c r="O6" s="4">
        <v>11021</v>
      </c>
    </row>
    <row r="7" spans="1:15" ht="22.5" x14ac:dyDescent="0.2">
      <c r="A7" s="5" t="s">
        <v>26</v>
      </c>
      <c r="B7" s="4">
        <v>581374</v>
      </c>
      <c r="C7" s="4">
        <v>613375</v>
      </c>
      <c r="D7" s="4">
        <v>633671</v>
      </c>
      <c r="E7" s="4">
        <v>649273</v>
      </c>
      <c r="F7" s="4">
        <v>647895</v>
      </c>
      <c r="G7" s="4">
        <v>665458</v>
      </c>
      <c r="H7" s="4">
        <v>695121</v>
      </c>
      <c r="I7" s="4">
        <v>9281</v>
      </c>
      <c r="J7" s="4">
        <v>9496.3333333333339</v>
      </c>
      <c r="K7" s="4">
        <v>9763.6666666666661</v>
      </c>
      <c r="L7" s="4">
        <v>10089</v>
      </c>
      <c r="M7" s="4">
        <v>10421.666666666666</v>
      </c>
      <c r="N7" s="4">
        <v>10712.333333333334</v>
      </c>
      <c r="O7" s="4">
        <v>10878.333333333334</v>
      </c>
    </row>
    <row r="8" spans="1:15" x14ac:dyDescent="0.2">
      <c r="A8" s="5" t="s">
        <v>25</v>
      </c>
      <c r="B8" s="4">
        <v>81747</v>
      </c>
      <c r="C8" s="4">
        <v>85073</v>
      </c>
      <c r="D8" s="4">
        <v>87264</v>
      </c>
      <c r="E8" s="4">
        <v>89319</v>
      </c>
      <c r="F8" s="4">
        <v>87568</v>
      </c>
      <c r="G8" s="4">
        <v>89925</v>
      </c>
      <c r="H8" s="4">
        <v>93522</v>
      </c>
      <c r="I8" s="4">
        <v>8788</v>
      </c>
      <c r="J8" s="4">
        <v>9046</v>
      </c>
      <c r="K8" s="4">
        <v>9306.5</v>
      </c>
      <c r="L8" s="4">
        <v>9640.5</v>
      </c>
      <c r="M8" s="4">
        <v>9947.5</v>
      </c>
      <c r="N8" s="4">
        <v>10306</v>
      </c>
      <c r="O8" s="4">
        <v>10460.5</v>
      </c>
    </row>
    <row r="9" spans="1:15" x14ac:dyDescent="0.2">
      <c r="A9" s="9" t="s">
        <v>13</v>
      </c>
      <c r="B9" s="4">
        <v>489201</v>
      </c>
      <c r="C9" s="4">
        <v>507939</v>
      </c>
      <c r="D9" s="4">
        <v>519760</v>
      </c>
      <c r="E9" s="4">
        <v>529918</v>
      </c>
      <c r="F9" s="4">
        <v>529158</v>
      </c>
      <c r="G9" s="4">
        <v>544129</v>
      </c>
      <c r="H9" s="4">
        <v>566378</v>
      </c>
      <c r="I9" s="4">
        <v>10952</v>
      </c>
      <c r="J9" s="4">
        <v>11162</v>
      </c>
      <c r="K9" s="4">
        <v>11467</v>
      </c>
      <c r="L9" s="4">
        <v>11864</v>
      </c>
      <c r="M9" s="4">
        <v>12246</v>
      </c>
      <c r="N9" s="4">
        <v>12626</v>
      </c>
      <c r="O9" s="4">
        <v>12973</v>
      </c>
    </row>
    <row r="10" spans="1:15" x14ac:dyDescent="0.2">
      <c r="A10" s="9" t="s">
        <v>15</v>
      </c>
      <c r="B10" s="4">
        <v>1075851</v>
      </c>
      <c r="C10" s="4">
        <v>1113607</v>
      </c>
      <c r="D10" s="4">
        <v>1139615</v>
      </c>
      <c r="E10" s="4">
        <v>1154972</v>
      </c>
      <c r="F10" s="4">
        <v>1153014</v>
      </c>
      <c r="G10" s="4">
        <v>1180494</v>
      </c>
      <c r="H10" s="4">
        <v>1220853</v>
      </c>
      <c r="I10" s="4">
        <v>12495</v>
      </c>
      <c r="J10" s="4">
        <v>12780</v>
      </c>
      <c r="K10" s="4">
        <v>13135</v>
      </c>
      <c r="L10" s="4">
        <v>13577</v>
      </c>
      <c r="M10" s="4">
        <v>14102</v>
      </c>
      <c r="N10" s="4">
        <v>14678</v>
      </c>
      <c r="O10" s="4">
        <v>15281</v>
      </c>
    </row>
    <row r="11" spans="1:15" x14ac:dyDescent="0.2">
      <c r="A11" s="5" t="s">
        <v>20</v>
      </c>
      <c r="B11" s="4">
        <v>718564</v>
      </c>
      <c r="C11" s="4">
        <v>737486</v>
      </c>
      <c r="D11" s="4">
        <v>748633</v>
      </c>
      <c r="E11" s="4">
        <v>762991</v>
      </c>
      <c r="F11" s="4">
        <v>754595</v>
      </c>
      <c r="G11" s="4">
        <v>766738</v>
      </c>
      <c r="H11" s="4">
        <v>790518</v>
      </c>
      <c r="I11" s="4">
        <v>12676</v>
      </c>
      <c r="J11" s="4">
        <v>12989</v>
      </c>
      <c r="K11" s="4">
        <v>13588</v>
      </c>
      <c r="L11" s="4">
        <v>13988</v>
      </c>
      <c r="M11" s="4">
        <v>14642</v>
      </c>
      <c r="N11" s="4">
        <v>15489</v>
      </c>
      <c r="O11" s="4">
        <v>16263</v>
      </c>
    </row>
    <row r="12" spans="1:15" x14ac:dyDescent="0.2">
      <c r="A12" s="9" t="s">
        <v>21</v>
      </c>
      <c r="B12" s="4">
        <v>578624</v>
      </c>
      <c r="C12" s="4">
        <v>602413</v>
      </c>
      <c r="D12" s="4">
        <v>617685</v>
      </c>
      <c r="E12" s="4">
        <v>631072</v>
      </c>
      <c r="F12" s="4">
        <v>625531</v>
      </c>
      <c r="G12" s="4">
        <v>641890</v>
      </c>
      <c r="H12" s="4">
        <v>668696</v>
      </c>
      <c r="I12" s="4">
        <v>9920</v>
      </c>
      <c r="J12" s="4">
        <v>10191</v>
      </c>
      <c r="K12" s="4">
        <v>10497</v>
      </c>
      <c r="L12" s="4">
        <v>10854</v>
      </c>
      <c r="M12" s="4">
        <v>11248</v>
      </c>
      <c r="N12" s="4">
        <v>11534</v>
      </c>
      <c r="O12" s="4">
        <v>11822</v>
      </c>
    </row>
    <row r="13" spans="1:15" ht="22.5" x14ac:dyDescent="0.2">
      <c r="A13" s="6" t="s">
        <v>24</v>
      </c>
      <c r="B13" s="8">
        <v>164351</v>
      </c>
      <c r="C13" s="8">
        <v>172531</v>
      </c>
      <c r="D13" s="8">
        <v>179968</v>
      </c>
      <c r="E13" s="8">
        <v>183725</v>
      </c>
      <c r="F13" s="8">
        <v>184893</v>
      </c>
      <c r="G13" s="8">
        <v>193242</v>
      </c>
      <c r="H13" s="8">
        <v>202910</v>
      </c>
      <c r="I13" s="8">
        <v>10332</v>
      </c>
      <c r="J13" s="8">
        <v>10579</v>
      </c>
      <c r="K13" s="8">
        <v>10845</v>
      </c>
      <c r="L13" s="8">
        <v>11185</v>
      </c>
      <c r="M13" s="8">
        <v>11470</v>
      </c>
      <c r="N13" s="8">
        <v>11791</v>
      </c>
      <c r="O13" s="8">
        <v>12127</v>
      </c>
    </row>
    <row r="14" spans="1:15" x14ac:dyDescent="0.2">
      <c r="D14" s="4"/>
      <c r="I14" s="4">
        <v>11117</v>
      </c>
      <c r="J14" s="4">
        <v>11358</v>
      </c>
      <c r="K14" s="4">
        <v>11699</v>
      </c>
      <c r="L14" s="4">
        <v>12074</v>
      </c>
      <c r="M14" s="4">
        <v>12515</v>
      </c>
      <c r="N14" s="4">
        <v>12978</v>
      </c>
      <c r="O14" s="4">
        <v>13396</v>
      </c>
    </row>
    <row r="15" spans="1:15" x14ac:dyDescent="0.2">
      <c r="D15" s="4"/>
      <c r="K15" s="4"/>
    </row>
    <row r="16" spans="1:15" x14ac:dyDescent="0.2">
      <c r="D16" s="4"/>
      <c r="K16" s="4"/>
    </row>
    <row r="17" spans="1:15" ht="33.75" x14ac:dyDescent="0.2">
      <c r="A17" s="5" t="s">
        <v>27</v>
      </c>
      <c r="B17" s="10">
        <f t="shared" ref="B17:O17" si="0">B8/B5</f>
        <v>2.002352942905495E-2</v>
      </c>
      <c r="C17" s="10">
        <f t="shared" si="0"/>
        <v>2.0039724697294696E-2</v>
      </c>
      <c r="D17" s="10">
        <f t="shared" si="0"/>
        <v>2.003908889934505E-2</v>
      </c>
      <c r="E17" s="10">
        <f t="shared" si="0"/>
        <v>2.0074261214191754E-2</v>
      </c>
      <c r="F17" s="10">
        <f t="shared" si="0"/>
        <v>1.9773577543459056E-2</v>
      </c>
      <c r="G17" s="10">
        <f t="shared" si="0"/>
        <v>1.9803111813753632E-2</v>
      </c>
      <c r="H17" s="10">
        <f t="shared" si="0"/>
        <v>1.9815876474637725E-2</v>
      </c>
      <c r="I17" s="10">
        <f t="shared" si="0"/>
        <v>0.79050103445174058</v>
      </c>
      <c r="J17" s="10">
        <f t="shared" si="0"/>
        <v>0.79644303574572983</v>
      </c>
      <c r="K17" s="10">
        <f t="shared" si="0"/>
        <v>0.79549534148217793</v>
      </c>
      <c r="L17" s="10">
        <f t="shared" si="0"/>
        <v>0.79845121749213188</v>
      </c>
      <c r="M17" s="10">
        <f t="shared" si="0"/>
        <v>0.79484618457850575</v>
      </c>
      <c r="N17" s="10">
        <f t="shared" si="0"/>
        <v>0.79411311450146405</v>
      </c>
      <c r="O17" s="10">
        <f t="shared" si="0"/>
        <v>0.78086742311137658</v>
      </c>
    </row>
    <row r="18" spans="1:15" x14ac:dyDescent="0.2">
      <c r="D18" s="4"/>
      <c r="K18" s="4"/>
    </row>
    <row r="19" spans="1:15" x14ac:dyDescent="0.2">
      <c r="D19" s="4"/>
      <c r="K19" s="4"/>
    </row>
    <row r="20" spans="1:15" x14ac:dyDescent="0.2">
      <c r="D20" s="4"/>
      <c r="K20" s="4"/>
    </row>
    <row r="21" spans="1:15" x14ac:dyDescent="0.2">
      <c r="D21" s="4"/>
      <c r="K21" s="4"/>
    </row>
    <row r="22" spans="1:15" x14ac:dyDescent="0.2">
      <c r="D22" s="4"/>
      <c r="K22" s="4"/>
    </row>
    <row r="23" spans="1:15" x14ac:dyDescent="0.2">
      <c r="D23" s="4"/>
      <c r="K23" s="4"/>
    </row>
    <row r="24" spans="1:15" x14ac:dyDescent="0.2">
      <c r="D24" s="4"/>
      <c r="K24" s="4"/>
    </row>
    <row r="25" spans="1:15" x14ac:dyDescent="0.2">
      <c r="D25" s="4"/>
      <c r="K25" s="4"/>
    </row>
    <row r="26" spans="1:15" x14ac:dyDescent="0.2">
      <c r="D26" s="4"/>
      <c r="K26" s="4"/>
    </row>
    <row r="27" spans="1:15" x14ac:dyDescent="0.2">
      <c r="D27" s="4"/>
      <c r="K27" s="4"/>
    </row>
    <row r="28" spans="1:15" x14ac:dyDescent="0.2">
      <c r="D28" s="4"/>
      <c r="K28" s="4"/>
    </row>
    <row r="29" spans="1:15" x14ac:dyDescent="0.2">
      <c r="D29" s="4"/>
      <c r="K29" s="4"/>
    </row>
    <row r="30" spans="1:15" x14ac:dyDescent="0.2">
      <c r="D30" s="4"/>
      <c r="K30" s="4"/>
    </row>
    <row r="31" spans="1:15" x14ac:dyDescent="0.2">
      <c r="D31" s="4"/>
      <c r="K31" s="4"/>
    </row>
    <row r="32" spans="1:15" x14ac:dyDescent="0.2">
      <c r="D32" s="4"/>
      <c r="K32" s="4"/>
    </row>
    <row r="33" spans="4:11" x14ac:dyDescent="0.2">
      <c r="D33" s="4"/>
      <c r="K33" s="4"/>
    </row>
    <row r="34" spans="4:11" x14ac:dyDescent="0.2">
      <c r="D34" s="4"/>
      <c r="K34" s="4"/>
    </row>
    <row r="35" spans="4:11" x14ac:dyDescent="0.2">
      <c r="D35" s="4"/>
      <c r="K35" s="4"/>
    </row>
    <row r="36" spans="4:11" x14ac:dyDescent="0.2">
      <c r="D36" s="4"/>
      <c r="K36" s="4"/>
    </row>
    <row r="37" spans="4:11" x14ac:dyDescent="0.2">
      <c r="D37" s="4"/>
      <c r="K37" s="4"/>
    </row>
    <row r="38" spans="4:11" x14ac:dyDescent="0.2">
      <c r="D38" s="4"/>
      <c r="K38" s="4"/>
    </row>
    <row r="39" spans="4:11" x14ac:dyDescent="0.2">
      <c r="D39" s="4"/>
      <c r="K39" s="4"/>
    </row>
    <row r="40" spans="4:11" x14ac:dyDescent="0.2">
      <c r="D40" s="4"/>
      <c r="K40" s="4"/>
    </row>
    <row r="41" spans="4:11" x14ac:dyDescent="0.2">
      <c r="D41" s="4"/>
      <c r="K41" s="4"/>
    </row>
    <row r="42" spans="4:11" x14ac:dyDescent="0.2">
      <c r="D42" s="4"/>
    </row>
    <row r="43" spans="4:11" x14ac:dyDescent="0.2">
      <c r="D43" s="4"/>
    </row>
    <row r="44" spans="4:11" x14ac:dyDescent="0.2">
      <c r="D44" s="4"/>
    </row>
    <row r="45" spans="4:11" x14ac:dyDescent="0.2">
      <c r="D45" s="4"/>
    </row>
    <row r="46" spans="4:11" x14ac:dyDescent="0.2">
      <c r="D46" s="4"/>
    </row>
    <row r="47" spans="4:11" x14ac:dyDescent="0.2">
      <c r="D47" s="4"/>
    </row>
    <row r="48" spans="4:11" x14ac:dyDescent="0.2">
      <c r="D48" s="4"/>
    </row>
    <row r="49" spans="4:4" x14ac:dyDescent="0.2">
      <c r="D49" s="4"/>
    </row>
    <row r="50" spans="4:4" x14ac:dyDescent="0.2">
      <c r="D50" s="4"/>
    </row>
    <row r="51" spans="4:4" x14ac:dyDescent="0.2">
      <c r="D51" s="4"/>
    </row>
    <row r="52" spans="4:4" x14ac:dyDescent="0.2">
      <c r="D52" s="4"/>
    </row>
    <row r="53" spans="4:4" x14ac:dyDescent="0.2">
      <c r="D53" s="4"/>
    </row>
    <row r="54" spans="4:4" x14ac:dyDescent="0.2">
      <c r="D54" s="4"/>
    </row>
  </sheetData>
  <mergeCells count="4">
    <mergeCell ref="A1:O1"/>
    <mergeCell ref="A3:A4"/>
    <mergeCell ref="B3:H3"/>
    <mergeCell ref="I3:O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F66357239BA14BC4A1EFECD878385CA7" ma:contentTypeVersion="1" ma:contentTypeDescription="צור מסמך חדש." ma:contentTypeScope="" ma:versionID="ea7e885bdf8053231ac514349eae4573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08da46b6ae811ef844734bd8bf08ae2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מתזמן תאריך התחלה" ma:description="" ma:internalName="PublishingStartDate">
      <xsd:simpleType>
        <xsd:restriction base="dms:Unknown"/>
      </xsd:simpleType>
    </xsd:element>
    <xsd:element name="PublishingExpirationDate" ma:index="9" nillable="true" ma:displayName="מתזמן תאריך סיום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2B7D1BB-51EA-4D2F-ABF5-01509C9674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6AAC70-D635-4512-93BC-C5F5A7E58A9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</vt:lpstr>
      <vt:lpstr>מחוזות</vt:lpstr>
    </vt:vector>
  </TitlesOfParts>
  <Company>BTL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נויה כהן</dc:creator>
  <cp:lastModifiedBy>בני דרובוט</cp:lastModifiedBy>
  <dcterms:created xsi:type="dcterms:W3CDTF">2024-07-11T11:09:01Z</dcterms:created>
  <dcterms:modified xsi:type="dcterms:W3CDTF">2025-07-14T08:49:41Z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0x010100F66357239BA14BC4A1EFECD878385CA7</vt:lpwstr>
  </property>
  <property fmtid="{D5CDD505-2E9C-101B-9397-08002B2CF9AE}" pid="3" name="Order">
    <vt:r8>155500</vt:r8>
  </property>
  <property fmtid="{D5CDD505-2E9C-101B-9397-08002B2CF9AE}" pid="4" name="TemplateUrl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</Properties>
</file>